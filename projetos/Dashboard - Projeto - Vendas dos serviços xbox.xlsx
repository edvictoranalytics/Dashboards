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ALPHA\Downloads\Analise de Dados - BootCamp\Criando um Dashboard de Vendas do Xbox com Excel\"/>
    </mc:Choice>
  </mc:AlternateContent>
  <xr:revisionPtr revIDLastSave="0" documentId="13_ncr:1_{DD7B9914-2EE5-4BF9-8479-BDCCB82D1002}" xr6:coauthVersionLast="47" xr6:coauthVersionMax="47" xr10:uidLastSave="{00000000-0000-0000-0000-000000000000}"/>
  <bookViews>
    <workbookView xWindow="1170" yWindow="1170" windowWidth="14370" windowHeight="1290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Anotações" sheetId="5" state="hidden" r:id="rId5"/>
  </sheets>
  <definedNames>
    <definedName name="SegmentaçãodeDados_Meses__Start_Date">#N/A</definedName>
    <definedName name="tbl_auto_renov">C̳álculos!$B$17:$C$22</definedName>
    <definedName name="tbl_total">C̳álculos!$B$8:$C$12</definedName>
    <definedName name="tbl_vendas_eaplay">C̳álculos!$B$45:$C$51</definedName>
    <definedName name="tbl_vendas_minecraft" comment="Erro">#N/A</definedName>
    <definedName name="tbl_vendas_minecrafts">C̳álculos!$B$55:$C$61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2" i="3" l="1"/>
  <c r="D12" i="3"/>
  <c r="D51" i="3"/>
  <c r="D61" i="3"/>
</calcChain>
</file>

<file path=xl/sharedStrings.xml><?xml version="1.0" encoding="utf-8"?>
<sst xmlns="http://schemas.openxmlformats.org/spreadsheetml/2006/main" count="2105" uniqueCount="376">
  <si>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</si>
  <si>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</si>
  <si>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</si>
  <si>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</si>
  <si>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</si>
  <si>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</si>
  <si>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</si>
  <si>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</si>
  <si>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</si>
  <si>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</si>
  <si>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</si>
  <si>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</si>
  <si>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</si>
  <si>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</si>
  <si>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</si>
  <si>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</si>
  <si>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</si>
  <si>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</si>
  <si>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</si>
  <si>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</si>
  <si>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</si>
  <si>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</si>
  <si>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</si>
  <si>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</si>
  <si>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</si>
  <si>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</si>
  <si>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</si>
  <si>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</si>
  <si>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</si>
  <si>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</si>
  <si>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</si>
  <si>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</si>
  <si>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</si>
  <si>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</si>
  <si>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</si>
  <si>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</si>
  <si>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</si>
  <si>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</si>
  <si>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</si>
  <si>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</si>
  <si>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</si>
  <si>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</si>
  <si>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</si>
  <si>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</si>
  <si>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</si>
  <si>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</si>
  <si>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</si>
  <si>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</si>
  <si>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</si>
  <si>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</si>
  <si>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</si>
  <si>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</si>
  <si>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</si>
  <si>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</si>
  <si>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</si>
  <si>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</si>
  <si>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</si>
  <si>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</si>
  <si>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</si>
  <si>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</si>
  <si>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</si>
  <si>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</si>
  <si>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</si>
  <si>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</si>
  <si>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</si>
  <si>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</si>
  <si>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</si>
  <si>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</si>
  <si>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</si>
  <si>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</si>
  <si>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</si>
  <si>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</si>
  <si>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</si>
  <si>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</si>
  <si>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</si>
  <si>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</si>
  <si>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</si>
  <si>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</si>
  <si>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</si>
  <si>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</si>
  <si>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</si>
  <si>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</si>
  <si>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</si>
  <si>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</si>
  <si>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</si>
  <si>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</si>
  <si>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</si>
  <si>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</si>
  <si>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</si>
  <si>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</si>
  <si>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</si>
  <si>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</si>
  <si>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</si>
  <si>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</si>
  <si>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</si>
  <si>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</si>
  <si>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</si>
  <si>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</si>
  <si>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</si>
  <si>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</si>
  <si>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</si>
  <si>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</si>
  <si>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</si>
  <si>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</si>
  <si>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</si>
  <si>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</si>
  <si>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</si>
  <si>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</si>
  <si>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</si>
  <si>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</si>
  <si>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</si>
  <si>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</si>
  <si>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</si>
  <si>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</si>
  <si>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</si>
  <si>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</si>
  <si>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</si>
  <si>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</si>
  <si>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</si>
  <si>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</si>
  <si>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</si>
  <si>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</si>
  <si>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</si>
  <si>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</si>
  <si>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</si>
  <si>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</si>
  <si>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</si>
  <si>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</si>
  <si>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</si>
  <si>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</si>
  <si>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</si>
  <si>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</si>
  <si>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</si>
  <si>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</si>
  <si>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</si>
  <si>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</si>
  <si>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</si>
  <si>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</si>
  <si>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</si>
  <si>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</si>
  <si>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</si>
  <si>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</si>
  <si>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</si>
  <si>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</si>
  <si>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</si>
  <si>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</si>
  <si>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</si>
  <si>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</si>
  <si>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</si>
  <si>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</si>
  <si>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</si>
  <si>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</si>
  <si>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</si>
  <si>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</si>
  <si>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</si>
  <si>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</si>
  <si>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</si>
  <si>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</si>
  <si>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</si>
  <si>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</si>
  <si>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</si>
  <si>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</si>
  <si>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</si>
  <si>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</si>
  <si>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</si>
  <si>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</si>
  <si>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</si>
  <si>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</si>
  <si>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</si>
  <si>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</si>
  <si>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</si>
  <si>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</si>
  <si>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</si>
  <si>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</si>
  <si>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</si>
  <si>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</si>
  <si>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</si>
  <si>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</si>
  <si>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</si>
  <si>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</si>
  <si>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</si>
  <si>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</si>
  <si>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</si>
  <si>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</si>
  <si>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</si>
  <si>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</si>
  <si>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</si>
  <si>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</si>
  <si>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</si>
  <si>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</si>
  <si>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</si>
  <si>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</si>
  <si>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</si>
  <si>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</si>
  <si>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</si>
  <si>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</si>
  <si>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</si>
  <si>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</si>
  <si>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</si>
  <si>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</si>
  <si>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</si>
  <si>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</si>
  <si>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</si>
  <si>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</si>
  <si>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</si>
  <si>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</si>
  <si>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</si>
  <si>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</si>
  <si>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</si>
  <si>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</si>
  <si>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</si>
  <si>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</si>
  <si>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</si>
  <si>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</si>
  <si>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</si>
  <si>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</si>
  <si>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</si>
  <si>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</si>
  <si>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</si>
  <si>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</si>
  <si>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</si>
  <si>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</si>
  <si>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</si>
  <si>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</si>
  <si>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</si>
  <si>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</si>
  <si>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</si>
  <si>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</si>
  <si>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</si>
  <si>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</si>
  <si>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</si>
  <si>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</si>
  <si>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</si>
  <si>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</si>
  <si>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</si>
  <si>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</si>
  <si>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</si>
  <si>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</si>
  <si>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</si>
  <si>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</si>
  <si>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</si>
  <si>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</si>
  <si>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</si>
  <si>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</si>
  <si>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</si>
  <si>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</si>
  <si>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</si>
  <si>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</si>
  <si>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</si>
  <si>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</si>
  <si>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</si>
  <si>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</si>
  <si>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</si>
  <si>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</si>
  <si>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</si>
  <si>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</si>
  <si>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</si>
  <si>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</si>
  <si>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</si>
  <si>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</si>
  <si>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</si>
  <si>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</si>
  <si>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</si>
  <si>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</si>
  <si>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</si>
  <si>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</si>
  <si>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</si>
  <si>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</si>
  <si>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</si>
  <si>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</si>
  <si>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</si>
  <si>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</si>
  <si>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</si>
  <si>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</si>
  <si>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</si>
  <si>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</si>
  <si>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</si>
  <si>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</si>
  <si>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</si>
  <si>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</si>
  <si>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</si>
  <si>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</si>
  <si>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</si>
  <si>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</si>
  <si>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</si>
  <si>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</si>
  <si>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</si>
  <si>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</si>
  <si>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</si>
  <si>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</si>
  <si>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</si>
  <si>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</si>
  <si>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</si>
  <si>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</si>
  <si>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</si>
  <si>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</si>
  <si>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</si>
  <si>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</si>
  <si>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</si>
  <si>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</si>
  <si>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</si>
  <si>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</si>
  <si>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</si>
  <si>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</si>
  <si>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</si>
  <si>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</si>
  <si>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</si>
  <si>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</si>
  <si>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</si>
  <si>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</si>
  <si>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</si>
  <si>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</si>
  <si>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</si>
  <si>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A</t>
  </si>
  <si>
    <t>B</t>
  </si>
  <si>
    <t>C</t>
  </si>
  <si>
    <t>D</t>
  </si>
  <si>
    <t>E</t>
  </si>
  <si>
    <t>Bases (Dados para gerar o dashboard principal ou outros)</t>
  </si>
  <si>
    <t>Cálculos (Meio campo que processa dados para transformar em informações)</t>
  </si>
  <si>
    <t>Dashboard (Principal visual)</t>
  </si>
  <si>
    <t>Extras</t>
  </si>
  <si>
    <t>*Método de organização</t>
  </si>
  <si>
    <t>1. Entendedo nossa base de dados</t>
  </si>
  <si>
    <t>//Criar subpastas ou abas no excel</t>
  </si>
  <si>
    <t>Assets (Recursos: Imagens, vídeos, gifs, paletes de cores,etc)</t>
  </si>
  <si>
    <t>Não tem como você fazer um dashboards sem entender seus dados.</t>
  </si>
  <si>
    <t>Só dá para gerar informações com base nos dados que você tem.</t>
  </si>
  <si>
    <t>O que é esses dados em "Bases"?</t>
  </si>
  <si>
    <t>R: É uma base de dados de assinaturas, que a Microsft oferece dentro do serviço da Xbox Cloud.
Xbox Cloud é um serviço de núvem, onde os jogadores eles podem te acesso a um leque de jogos e dentro desses
serviços de núvem, tem outros serviços que você pode assinar junto ao carrinho, como se fosse uma NETFLIX de jogos.</t>
  </si>
  <si>
    <t>Quais os dados estão sendo armazenados?</t>
  </si>
  <si>
    <t>Registro da Assinatura</t>
  </si>
  <si>
    <t>Nome da pessoa que fez a assinatura</t>
  </si>
  <si>
    <t>Tipo do plano</t>
  </si>
  <si>
    <t>Data inicial do plano</t>
  </si>
  <si>
    <t>Se o plano será renovado automáticamente Y/N</t>
  </si>
  <si>
    <t>Valor da assinatura</t>
  </si>
  <si>
    <t>Tipo da assinatura</t>
  </si>
  <si>
    <t>Obs.: Dados aqui já estão trabalhados</t>
  </si>
  <si>
    <t>Valor do serviço</t>
  </si>
  <si>
    <t>Valor do cupom de desconto, se houver.</t>
  </si>
  <si>
    <t>Se escolheu o "serviço/assinatura"</t>
  </si>
  <si>
    <t>Total dos valores. Registro de um conjunto de assinaturas</t>
  </si>
  <si>
    <t>Empilhamento de serviços</t>
  </si>
  <si>
    <t>Dados x Informação</t>
  </si>
  <si>
    <t>Informação: É uma pergunta de negócio respondida através de alguma análise da dos específica.</t>
  </si>
  <si>
    <t>Dado: valores atribuídos a algo.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</si>
  <si>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(contendo</t>
    </r>
    <r>
      <rPr>
        <b/>
        <sz val="11"/>
        <color theme="1"/>
        <rFont val="Aptos Narrow"/>
        <family val="2"/>
        <scheme val="minor"/>
      </rPr>
      <t xml:space="preserve"> todas as assinaturas agregadas</t>
    </r>
    <r>
      <rPr>
        <sz val="11"/>
        <color theme="1"/>
        <rFont val="Aptos Narrow"/>
        <family val="2"/>
        <scheme val="minor"/>
      </rPr>
      <t>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</si>
  <si>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</si>
  <si>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</si>
  <si>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</si>
  <si>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anuais, separado por auto renovação que não é por renovação automática.</t>
    </r>
  </si>
  <si>
    <t>Soma de Subscription Price</t>
  </si>
  <si>
    <t>Informações podem ser passadas de formas visuais</t>
  </si>
  <si>
    <t>XBOX GAME PASS SUBSCRIPTION SALES</t>
  </si>
  <si>
    <t>Pergunta de Negócio 3 - Total de vendas de assinaturas do EA play</t>
  </si>
  <si>
    <t>Soma de EA Play Season Pass</t>
  </si>
  <si>
    <t xml:space="preserve"> </t>
  </si>
  <si>
    <t>Pergunta de Negócio 4 - Total de vendas de assinaturas do Minecraft Season Pass</t>
  </si>
  <si>
    <t>Soma de Minecraft Season Pass Price</t>
  </si>
  <si>
    <t>(Tudo)</t>
  </si>
  <si>
    <t>Pergunta de Negócio 5 - Qual a receita total de assinaturas sem PASS?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</si>
  <si>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</si>
  <si>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</si>
  <si>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</si>
  <si>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</si>
  <si>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</si>
  <si>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</si>
  <si>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</si>
  <si>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</si>
  <si>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</si>
  <si>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</si>
  <si>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</si>
  <si>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</si>
  <si>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Pergunta de Negócio 6 - Qual evolução das receitas por mês?</t>
  </si>
  <si>
    <t>Período apuração: 01/01/2024 - 31/12/2024 | Update: 31/12/2024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</si>
</sst>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6"/>
      <color theme="3"/>
      <name val="Agency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/>
    <xf numFmtId="0" fontId="4" fillId="8" borderId="2" xfId="0" applyFont="1" applyFill="1" applyBorder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4" borderId="0" xfId="0" applyFill="1" applyAlignment="1">
      <alignment horizontal="left"/>
    </xf>
    <xf numFmtId="44" fontId="0" fillId="4" borderId="0" xfId="0" applyNumberFormat="1" applyFill="1"/>
    <xf numFmtId="0" fontId="0" fillId="9" borderId="0" xfId="0" applyFill="1"/>
    <xf numFmtId="44" fontId="0" fillId="0" borderId="0" xfId="2" applyFont="1"/>
    <xf numFmtId="0" fontId="0" fillId="10" borderId="0" xfId="0" applyFill="1"/>
    <xf numFmtId="0" fontId="5" fillId="0" borderId="1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9600D34B-AAA9-4EEA-B2D5-5A3DDF243166}">
      <tableStyleElement type="wholeTable" dxfId="25"/>
      <tableStyleElement type="headerRow" dxfId="24"/>
    </tableStyle>
  </tableStyles>
  <colors>
    <mruColors>
      <color rgb="FF22C55E"/>
      <color rgb="FF000000"/>
      <color rgb="FF2AE6B1"/>
      <color rgb="FF00FF00"/>
      <color rgb="FFE8E6E9"/>
      <color rgb="FF5BF6A8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 - Projeto ED.xlsx]C̳álculos!tbl_anual_auto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C̳álculos!$B$20:$B$22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C̳álculos!$C$20:$C$22</c:f>
              <c:numCache>
                <c:formatCode>_("R$"* #,##0.00_);_("R$"* \(#,##0.00\);_("R$"* "-"??_);_(@_)</c:formatCode>
                <c:ptCount val="2"/>
                <c:pt idx="0">
                  <c:v>1470</c:v>
                </c:pt>
                <c:pt idx="1">
                  <c:v>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1-4FDA-B166-4C1995196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008272"/>
        <c:axId val="2041008752"/>
      </c:barChart>
      <c:catAx>
        <c:axId val="204100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1008752"/>
        <c:crosses val="autoZero"/>
        <c:auto val="1"/>
        <c:lblAlgn val="ctr"/>
        <c:lblOffset val="100"/>
        <c:noMultiLvlLbl val="0"/>
      </c:catAx>
      <c:valAx>
        <c:axId val="20410087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410082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 - Projeto ED.xlsx]C̳álculos!tbl_anual_auto</c:name>
    <c:fmtId val="1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87-4D96-87CA-0A8A9BEBA2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C̳álculos!$B$20:$B$22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C̳álculos!$C$20:$C$22</c:f>
              <c:numCache>
                <c:formatCode>_("R$"* #,##0.00_);_("R$"* \(#,##0.00\);_("R$"* "-"??_);_(@_)</c:formatCode>
                <c:ptCount val="2"/>
                <c:pt idx="0">
                  <c:v>1470</c:v>
                </c:pt>
                <c:pt idx="1">
                  <c:v>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4-411F-B52E-A39670DD2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008272"/>
        <c:axId val="2041008752"/>
      </c:barChart>
      <c:catAx>
        <c:axId val="204100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1008752"/>
        <c:crosses val="autoZero"/>
        <c:auto val="1"/>
        <c:lblAlgn val="ctr"/>
        <c:lblOffset val="100"/>
        <c:noMultiLvlLbl val="0"/>
      </c:catAx>
      <c:valAx>
        <c:axId val="20410087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410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 - Projeto ED.xlsx]C̳álculos!Tabela dinâmica5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C̳álculos!$B$77:$B$89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C̳álculos!$C$77:$C$89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A-4790-B30E-2C6DF9B6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907423"/>
        <c:axId val="482908863"/>
      </c:barChart>
      <c:catAx>
        <c:axId val="4829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2908863"/>
        <c:crosses val="autoZero"/>
        <c:auto val="1"/>
        <c:lblAlgn val="ctr"/>
        <c:lblOffset val="100"/>
        <c:noMultiLvlLbl val="0"/>
      </c:catAx>
      <c:valAx>
        <c:axId val="48290886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290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2" Type="http://schemas.openxmlformats.org/officeDocument/2006/relationships/image" Target="../media/image8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7.png"/><Relationship Id="rId10" Type="http://schemas.openxmlformats.org/officeDocument/2006/relationships/chart" Target="../charts/chart3.xml"/><Relationship Id="rId4" Type="http://schemas.openxmlformats.org/officeDocument/2006/relationships/image" Target="../media/image10.svg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2793" y="5414681"/>
          <a:ext cx="1536029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95251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95251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142875</xdr:colOff>
      <xdr:row>26</xdr:row>
      <xdr:rowOff>84365</xdr:rowOff>
    </xdr:from>
    <xdr:to>
      <xdr:col>3</xdr:col>
      <xdr:colOff>850446</xdr:colOff>
      <xdr:row>40</xdr:row>
      <xdr:rowOff>160565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EF93E-9A8D-F05C-4330-1E36CD9B1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56129</xdr:colOff>
      <xdr:row>0</xdr:row>
      <xdr:rowOff>185399</xdr:rowOff>
    </xdr:from>
    <xdr:to>
      <xdr:col>0</xdr:col>
      <xdr:colOff>1469572</xdr:colOff>
      <xdr:row>5</xdr:row>
      <xdr:rowOff>174279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B4B977-EC0F-4E8B-A8F7-B0141CBF1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31" t="22129" r="72974" b="26622"/>
        <a:stretch>
          <a:fillRect/>
        </a:stretch>
      </xdr:blipFill>
      <xdr:spPr>
        <a:xfrm>
          <a:off x="56129" y="185399"/>
          <a:ext cx="1413443" cy="141763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1119</xdr:rowOff>
    </xdr:from>
    <xdr:to>
      <xdr:col>0</xdr:col>
      <xdr:colOff>1570984</xdr:colOff>
      <xdr:row>19</xdr:row>
      <xdr:rowOff>8804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9258CF79-8EE5-4477-838D-EB33EDCB0F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10869"/>
              <a:ext cx="1570984" cy="2293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229656</xdr:colOff>
      <xdr:row>34</xdr:row>
      <xdr:rowOff>122983</xdr:rowOff>
    </xdr:from>
    <xdr:to>
      <xdr:col>2</xdr:col>
      <xdr:colOff>260457</xdr:colOff>
      <xdr:row>45</xdr:row>
      <xdr:rowOff>107962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172C9A6-26BA-2E7E-A97B-00193138131A}"/>
            </a:ext>
          </a:extLst>
        </xdr:cNvPr>
        <xdr:cNvGrpSpPr/>
      </xdr:nvGrpSpPr>
      <xdr:grpSpPr>
        <a:xfrm>
          <a:off x="1808085" y="7076233"/>
          <a:ext cx="4017693" cy="2080479"/>
          <a:chOff x="5922557" y="982167"/>
          <a:chExt cx="3975865" cy="2078778"/>
        </a:xfrm>
      </xdr:grpSpPr>
      <xdr:sp macro="" textlink="C̳álculos!D51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2D11D0B-BE8B-2E5E-7A93-97F2876CEFFC}"/>
              </a:ext>
            </a:extLst>
          </xdr:cNvPr>
          <xdr:cNvSpPr/>
        </xdr:nvSpPr>
        <xdr:spPr>
          <a:xfrm>
            <a:off x="5927171" y="1841185"/>
            <a:ext cx="3966962" cy="1219760"/>
          </a:xfrm>
          <a:prstGeom prst="roundRect">
            <a:avLst>
              <a:gd name="adj" fmla="val 73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4000" b="1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709E8E90-39D0-B5F5-4CCE-0685360DED67}"/>
              </a:ext>
            </a:extLst>
          </xdr:cNvPr>
          <xdr:cNvSpPr/>
        </xdr:nvSpPr>
        <xdr:spPr>
          <a:xfrm>
            <a:off x="5922557" y="1792440"/>
            <a:ext cx="3975865" cy="324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Agency" pitchFamily="2" charset="0"/>
              </a:rPr>
              <a:t>Total Subscription minecraft </a:t>
            </a:r>
            <a:r>
              <a:rPr lang="pt-BR" sz="1100" b="1" baseline="0">
                <a:latin typeface="Agency" pitchFamily="2" charset="0"/>
              </a:rPr>
              <a:t> Sales Pass</a:t>
            </a:r>
          </a:p>
          <a:p>
            <a:pPr algn="ctr"/>
            <a:endParaRPr lang="pt-BR" sz="1100" b="1" baseline="0">
              <a:latin typeface="Agency" pitchFamily="2" charset="0"/>
            </a:endParaRPr>
          </a:p>
          <a:p>
            <a:pPr algn="ctr"/>
            <a:endParaRPr lang="pt-BR" sz="1100" b="1">
              <a:latin typeface="Agency" pitchFamily="2" charset="0"/>
            </a:endParaRPr>
          </a:p>
        </xdr:txBody>
      </xdr:sp>
      <xdr:sp macro="" textlink="C̳álculos!$D$61">
        <xdr:nvSpPr>
          <xdr:cNvPr id="16" name="CaixaDeTexto 15">
            <a:extLst>
              <a:ext uri="{FF2B5EF4-FFF2-40B4-BE49-F238E27FC236}">
                <a16:creationId xmlns:a16="http://schemas.microsoft.com/office/drawing/2014/main" id="{FA1C0ADE-30BD-B7F0-BD33-AE1D50B3B324}"/>
              </a:ext>
            </a:extLst>
          </xdr:cNvPr>
          <xdr:cNvSpPr txBox="1"/>
        </xdr:nvSpPr>
        <xdr:spPr>
          <a:xfrm>
            <a:off x="6824003" y="2190808"/>
            <a:ext cx="2173299" cy="5905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92A88F47-F503-4623-96A1-3AE685FDD77A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 R$ 3.880,00 </a:t>
            </a:fld>
            <a:endParaRPr lang="pt-BR" sz="3000" b="1">
              <a:solidFill>
                <a:schemeClr val="tx1"/>
              </a:solidFill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22F9862-280D-4442-BF35-EEA2797FFE51}"/>
              </a:ext>
            </a:extLst>
          </xdr:cNvPr>
          <xdr:cNvGrpSpPr/>
        </xdr:nvGrpSpPr>
        <xdr:grpSpPr>
          <a:xfrm>
            <a:off x="7148405" y="982167"/>
            <a:ext cx="1533368" cy="7531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1D86274A-D829-AA3A-6E5F-9BBED506CD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15B1351-436F-80D9-19A1-2C8BB2363D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229656</xdr:colOff>
      <xdr:row>23</xdr:row>
      <xdr:rowOff>164096</xdr:rowOff>
    </xdr:from>
    <xdr:to>
      <xdr:col>2</xdr:col>
      <xdr:colOff>249311</xdr:colOff>
      <xdr:row>34</xdr:row>
      <xdr:rowOff>46675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F1A49D0B-BFF5-0CC7-F73F-2EF71009A8C8}"/>
            </a:ext>
          </a:extLst>
        </xdr:cNvPr>
        <xdr:cNvGrpSpPr/>
      </xdr:nvGrpSpPr>
      <xdr:grpSpPr>
        <a:xfrm>
          <a:off x="1808085" y="5021846"/>
          <a:ext cx="4006547" cy="1978079"/>
          <a:chOff x="1765094" y="1074964"/>
          <a:chExt cx="3970674" cy="1978079"/>
        </a:xfrm>
      </xdr:grpSpPr>
      <xdr:sp macro="" textlink="C̳álculos!D51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F859210-6DA6-41D6-A771-6CD93DCC288B}"/>
              </a:ext>
            </a:extLst>
          </xdr:cNvPr>
          <xdr:cNvSpPr/>
        </xdr:nvSpPr>
        <xdr:spPr>
          <a:xfrm>
            <a:off x="1769711" y="1833283"/>
            <a:ext cx="3963088" cy="1219760"/>
          </a:xfrm>
          <a:prstGeom prst="roundRect">
            <a:avLst>
              <a:gd name="adj" fmla="val 73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4000" b="1"/>
          </a:p>
        </xdr:txBody>
      </xdr: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FE8C26BD-B66B-1581-13A9-39DB8A9A8E0E}"/>
              </a:ext>
            </a:extLst>
          </xdr:cNvPr>
          <xdr:cNvSpPr/>
        </xdr:nvSpPr>
        <xdr:spPr>
          <a:xfrm>
            <a:off x="1765094" y="1784538"/>
            <a:ext cx="3970674" cy="324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Agency" pitchFamily="2" charset="0"/>
              </a:rPr>
              <a:t>Total Subscription</a:t>
            </a:r>
            <a:r>
              <a:rPr lang="pt-BR" sz="1100" b="1" baseline="0">
                <a:latin typeface="Agency" pitchFamily="2" charset="0"/>
              </a:rPr>
              <a:t> ea play Sales Pass</a:t>
            </a:r>
          </a:p>
          <a:p>
            <a:pPr algn="ctr"/>
            <a:endParaRPr lang="pt-BR" sz="1100" b="1" baseline="0">
              <a:latin typeface="Agency" pitchFamily="2" charset="0"/>
            </a:endParaRPr>
          </a:p>
          <a:p>
            <a:pPr algn="ctr"/>
            <a:endParaRPr lang="pt-BR" sz="1100" b="1">
              <a:latin typeface="Agency" pitchFamily="2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5D034209-2614-422D-9350-DFE06212079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447" b="34728"/>
          <a:stretch>
            <a:fillRect/>
          </a:stretch>
        </xdr:blipFill>
        <xdr:spPr>
          <a:xfrm>
            <a:off x="2834788" y="1074964"/>
            <a:ext cx="1831286" cy="625929"/>
          </a:xfrm>
          <a:prstGeom prst="rect">
            <a:avLst/>
          </a:prstGeom>
        </xdr:spPr>
      </xdr:pic>
      <xdr:sp macro="" textlink="C̳álculos!$D$51">
        <xdr:nvSpPr>
          <xdr:cNvPr id="20" name="CaixaDeTexto 19">
            <a:extLst>
              <a:ext uri="{FF2B5EF4-FFF2-40B4-BE49-F238E27FC236}">
                <a16:creationId xmlns:a16="http://schemas.microsoft.com/office/drawing/2014/main" id="{56E60E42-0509-48BB-8292-435607083A18}"/>
              </a:ext>
            </a:extLst>
          </xdr:cNvPr>
          <xdr:cNvSpPr txBox="1"/>
        </xdr:nvSpPr>
        <xdr:spPr>
          <a:xfrm>
            <a:off x="2666934" y="2248308"/>
            <a:ext cx="2166995" cy="5905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9782A819-594C-42AD-9008-D73E29A85E52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 R$ 2.940,00 </a:t>
            </a:fld>
            <a:endParaRPr lang="pt-BR" sz="3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565943</xdr:colOff>
      <xdr:row>27</xdr:row>
      <xdr:rowOff>107979</xdr:rowOff>
    </xdr:from>
    <xdr:to>
      <xdr:col>9</xdr:col>
      <xdr:colOff>247457</xdr:colOff>
      <xdr:row>45</xdr:row>
      <xdr:rowOff>95250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19B7DA7F-26B0-5ACE-B208-A713F012EBD6}"/>
            </a:ext>
          </a:extLst>
        </xdr:cNvPr>
        <xdr:cNvGrpSpPr/>
      </xdr:nvGrpSpPr>
      <xdr:grpSpPr>
        <a:xfrm>
          <a:off x="6131264" y="5727729"/>
          <a:ext cx="3967764" cy="3416271"/>
          <a:chOff x="1777694" y="3159559"/>
          <a:chExt cx="3961319" cy="231181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F2B9155-BA97-89D3-EAEE-F7247887136C}"/>
              </a:ext>
            </a:extLst>
          </xdr:cNvPr>
          <xdr:cNvSpPr/>
        </xdr:nvSpPr>
        <xdr:spPr>
          <a:xfrm>
            <a:off x="1780419" y="3174170"/>
            <a:ext cx="3958594" cy="2297205"/>
          </a:xfrm>
          <a:prstGeom prst="roundRect">
            <a:avLst>
              <a:gd name="adj" fmla="val 73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6F5FD9B0-0667-415C-B516-C7F732B9A57E}"/>
              </a:ext>
            </a:extLst>
          </xdr:cNvPr>
          <xdr:cNvGraphicFramePr>
            <a:graphicFrameLocks/>
          </xdr:cNvGraphicFramePr>
        </xdr:nvGraphicFramePr>
        <xdr:xfrm>
          <a:off x="1881702" y="3290106"/>
          <a:ext cx="3778741" cy="20394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" name="Retângulo: Cantos Superiores Arredondados 2">
            <a:extLst>
              <a:ext uri="{FF2B5EF4-FFF2-40B4-BE49-F238E27FC236}">
                <a16:creationId xmlns:a16="http://schemas.microsoft.com/office/drawing/2014/main" id="{194E8A5E-7660-4FA7-B624-57934BE6FC50}"/>
              </a:ext>
            </a:extLst>
          </xdr:cNvPr>
          <xdr:cNvSpPr/>
        </xdr:nvSpPr>
        <xdr:spPr>
          <a:xfrm>
            <a:off x="1777694" y="3159559"/>
            <a:ext cx="3960178" cy="324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Agency" pitchFamily="2" charset="0"/>
              </a:rPr>
              <a:t>Total Subscription</a:t>
            </a:r>
            <a:r>
              <a:rPr lang="pt-BR" sz="1100" b="1" baseline="0">
                <a:latin typeface="Agency" pitchFamily="2" charset="0"/>
              </a:rPr>
              <a:t> xbox game Pass i auto Renewal</a:t>
            </a:r>
            <a:endParaRPr lang="pt-BR" sz="1100" b="1">
              <a:latin typeface="Agency" pitchFamily="2" charset="0"/>
            </a:endParaRPr>
          </a:p>
        </xdr:txBody>
      </xdr:sp>
    </xdr:grpSp>
    <xdr:clientData/>
  </xdr:twoCellAnchor>
  <xdr:twoCellAnchor>
    <xdr:from>
      <xdr:col>1</xdr:col>
      <xdr:colOff>229656</xdr:colOff>
      <xdr:row>2</xdr:row>
      <xdr:rowOff>85723</xdr:rowOff>
    </xdr:from>
    <xdr:to>
      <xdr:col>2</xdr:col>
      <xdr:colOff>212682</xdr:colOff>
      <xdr:row>13</xdr:row>
      <xdr:rowOff>36026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86823DD9-C6BF-5BA4-E2ED-FC12B4FD66C2}"/>
            </a:ext>
          </a:extLst>
        </xdr:cNvPr>
        <xdr:cNvGrpSpPr/>
      </xdr:nvGrpSpPr>
      <xdr:grpSpPr>
        <a:xfrm>
          <a:off x="1808085" y="929366"/>
          <a:ext cx="3969918" cy="2059410"/>
          <a:chOff x="1831426" y="922266"/>
          <a:chExt cx="3966961" cy="2054086"/>
        </a:xfrm>
      </xdr:grpSpPr>
      <xdr:sp macro="" textlink="C̳álculos!D51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B90D4EBE-F9AD-684B-1501-E8CAC964D159}"/>
              </a:ext>
            </a:extLst>
          </xdr:cNvPr>
          <xdr:cNvSpPr/>
        </xdr:nvSpPr>
        <xdr:spPr>
          <a:xfrm>
            <a:off x="1836034" y="1757003"/>
            <a:ext cx="3958127" cy="1219349"/>
          </a:xfrm>
          <a:prstGeom prst="roundRect">
            <a:avLst>
              <a:gd name="adj" fmla="val 73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4000" b="1"/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15F24D65-7147-0208-8518-3EA477E58DD9}"/>
              </a:ext>
            </a:extLst>
          </xdr:cNvPr>
          <xdr:cNvSpPr/>
        </xdr:nvSpPr>
        <xdr:spPr>
          <a:xfrm>
            <a:off x="1831426" y="1708274"/>
            <a:ext cx="3966961" cy="3245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 rtl="0"/>
            <a:r>
              <a:rPr lang="pt-BR" sz="1100" b="1" i="0">
                <a:solidFill>
                  <a:schemeClr val="lt1"/>
                </a:solidFill>
                <a:effectLst/>
                <a:latin typeface="Agency" pitchFamily="2" charset="0"/>
                <a:ea typeface="+mn-ea"/>
                <a:cs typeface="+mn-cs"/>
              </a:rPr>
              <a:t>Total Revenue</a:t>
            </a:r>
          </a:p>
        </xdr:txBody>
      </xdr:sp>
      <xdr:sp macro="" textlink="C̳álculos!$D$12">
        <xdr:nvSpPr>
          <xdr:cNvPr id="23" name="CaixaDeTexto 22">
            <a:extLst>
              <a:ext uri="{FF2B5EF4-FFF2-40B4-BE49-F238E27FC236}">
                <a16:creationId xmlns:a16="http://schemas.microsoft.com/office/drawing/2014/main" id="{CFCDB07C-6181-5941-6CFE-61493A2BCA09}"/>
              </a:ext>
            </a:extLst>
          </xdr:cNvPr>
          <xdr:cNvSpPr txBox="1"/>
        </xdr:nvSpPr>
        <xdr:spPr>
          <a:xfrm>
            <a:off x="2731537" y="2106508"/>
            <a:ext cx="2170079" cy="5903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96EDFA5B-3543-47C3-8BCA-77CC4F552047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 R$ 7.633,00 </a:t>
            </a:fld>
            <a:endParaRPr lang="pt-BR" sz="3000" b="1">
              <a:solidFill>
                <a:schemeClr val="tx1"/>
              </a:solidFill>
            </a:endParaRPr>
          </a:p>
        </xdr:txBody>
      </xdr:sp>
      <xdr:pic>
        <xdr:nvPicPr>
          <xdr:cNvPr id="34" name="Gráfico 33" descr="Medidor">
            <a:extLst>
              <a:ext uri="{FF2B5EF4-FFF2-40B4-BE49-F238E27FC236}">
                <a16:creationId xmlns:a16="http://schemas.microsoft.com/office/drawing/2014/main" id="{247C2CFD-46FF-6C9D-FD02-1B21F3388E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363806" y="922266"/>
            <a:ext cx="914400" cy="91860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229656</xdr:colOff>
      <xdr:row>13</xdr:row>
      <xdr:rowOff>122518</xdr:rowOff>
    </xdr:from>
    <xdr:to>
      <xdr:col>2</xdr:col>
      <xdr:colOff>254272</xdr:colOff>
      <xdr:row>23</xdr:row>
      <xdr:rowOff>97972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1913B785-DD09-C5D0-4D1B-B8E7563BE592}"/>
            </a:ext>
          </a:extLst>
        </xdr:cNvPr>
        <xdr:cNvGrpSpPr/>
      </xdr:nvGrpSpPr>
      <xdr:grpSpPr>
        <a:xfrm>
          <a:off x="1808085" y="3075268"/>
          <a:ext cx="4011508" cy="1880454"/>
          <a:chOff x="1758043" y="8096250"/>
          <a:chExt cx="4006066" cy="1880454"/>
        </a:xfrm>
      </xdr:grpSpPr>
      <xdr:sp macro="" textlink="C̳álculos!D51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74B04845-E55D-0AC0-8D8A-2204639E1B0A}"/>
              </a:ext>
            </a:extLst>
          </xdr:cNvPr>
          <xdr:cNvSpPr/>
        </xdr:nvSpPr>
        <xdr:spPr>
          <a:xfrm>
            <a:off x="1762698" y="8755946"/>
            <a:ext cx="3997083" cy="1220758"/>
          </a:xfrm>
          <a:prstGeom prst="roundRect">
            <a:avLst>
              <a:gd name="adj" fmla="val 73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4000" b="1"/>
          </a:p>
        </xdr:txBody>
      </xdr:sp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5E9C7222-9409-24A5-F405-66397C65CE77}"/>
              </a:ext>
            </a:extLst>
          </xdr:cNvPr>
          <xdr:cNvSpPr/>
        </xdr:nvSpPr>
        <xdr:spPr>
          <a:xfrm>
            <a:off x="1758043" y="8707161"/>
            <a:ext cx="4006066" cy="32494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Agency" pitchFamily="2" charset="0"/>
              </a:rPr>
              <a:t>Total Subscription price</a:t>
            </a:r>
            <a:endParaRPr lang="pt-BR" sz="1100" b="1" baseline="0">
              <a:latin typeface="Agency" pitchFamily="2" charset="0"/>
            </a:endParaRPr>
          </a:p>
          <a:p>
            <a:pPr algn="ctr"/>
            <a:endParaRPr lang="pt-BR" sz="1100" b="1">
              <a:latin typeface="Agency" pitchFamily="2" charset="0"/>
            </a:endParaRPr>
          </a:p>
        </xdr:txBody>
      </xdr:sp>
      <xdr:sp macro="" textlink="C̳álculos!$D$72">
        <xdr:nvSpPr>
          <xdr:cNvPr id="39" name="CaixaDeTexto 38">
            <a:extLst>
              <a:ext uri="{FF2B5EF4-FFF2-40B4-BE49-F238E27FC236}">
                <a16:creationId xmlns:a16="http://schemas.microsoft.com/office/drawing/2014/main" id="{6284DFFE-643E-8536-2086-B73388C55A33}"/>
              </a:ext>
            </a:extLst>
          </xdr:cNvPr>
          <xdr:cNvSpPr txBox="1"/>
        </xdr:nvSpPr>
        <xdr:spPr>
          <a:xfrm>
            <a:off x="2667570" y="9105855"/>
            <a:ext cx="2192782" cy="59103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C2D01157-E84F-4324-B9DB-2C83E9C5E129}" type="TxLink">
              <a:rPr lang="en-US" sz="3000" b="1" i="0" u="none" strike="noStrike">
                <a:solidFill>
                  <a:srgbClr val="000000"/>
                </a:solidFill>
                <a:latin typeface="Aptos Narrow"/>
              </a:rPr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 R$ 2.935,00 </a:t>
            </a:fld>
            <a:endParaRPr lang="en-US" sz="3000" b="1">
              <a:latin typeface="Agency" pitchFamily="2" charset="0"/>
            </a:endParaRPr>
          </a:p>
        </xdr:txBody>
      </xdr:sp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9A02C796-C9A7-4FE1-90B3-D71C280CE1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015260" y="8096250"/>
            <a:ext cx="1491632" cy="46345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555057</xdr:colOff>
      <xdr:row>6</xdr:row>
      <xdr:rowOff>83485</xdr:rowOff>
    </xdr:from>
    <xdr:to>
      <xdr:col>9</xdr:col>
      <xdr:colOff>236571</xdr:colOff>
      <xdr:row>23</xdr:row>
      <xdr:rowOff>97972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9F9E4332-7312-77B7-69FC-BAAAD6DE8E45}"/>
            </a:ext>
          </a:extLst>
        </xdr:cNvPr>
        <xdr:cNvGrpSpPr/>
      </xdr:nvGrpSpPr>
      <xdr:grpSpPr>
        <a:xfrm>
          <a:off x="6120378" y="1702735"/>
          <a:ext cx="3967764" cy="3252987"/>
          <a:chOff x="7494699" y="2002092"/>
          <a:chExt cx="3967764" cy="3252987"/>
        </a:xfrm>
      </xdr:grpSpPr>
      <xdr:sp macro="" textlink="">
        <xdr:nvSpPr>
          <xdr:cNvPr id="51" name="Retângulo: Cantos Arredondados 50">
            <a:extLst>
              <a:ext uri="{FF2B5EF4-FFF2-40B4-BE49-F238E27FC236}">
                <a16:creationId xmlns:a16="http://schemas.microsoft.com/office/drawing/2014/main" id="{D951E295-AA2B-2C0E-5F18-A53FE5B82116}"/>
              </a:ext>
            </a:extLst>
          </xdr:cNvPr>
          <xdr:cNvSpPr/>
        </xdr:nvSpPr>
        <xdr:spPr>
          <a:xfrm>
            <a:off x="7497428" y="2022651"/>
            <a:ext cx="3965035" cy="3232428"/>
          </a:xfrm>
          <a:prstGeom prst="roundRect">
            <a:avLst>
              <a:gd name="adj" fmla="val 73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3" name="Retângulo: Cantos Superiores Arredondados 52">
            <a:extLst>
              <a:ext uri="{FF2B5EF4-FFF2-40B4-BE49-F238E27FC236}">
                <a16:creationId xmlns:a16="http://schemas.microsoft.com/office/drawing/2014/main" id="{C22AB472-1B11-C951-DC7F-A4D6EB29DA41}"/>
              </a:ext>
            </a:extLst>
          </xdr:cNvPr>
          <xdr:cNvSpPr/>
        </xdr:nvSpPr>
        <xdr:spPr>
          <a:xfrm>
            <a:off x="7494699" y="2002092"/>
            <a:ext cx="3966621" cy="45685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Agency" pitchFamily="2" charset="0"/>
              </a:rPr>
              <a:t>TOTAL MONTHLY SUBSCRIPTIONS</a:t>
            </a:r>
          </a:p>
        </xdr:txBody>
      </xdr:sp>
      <xdr:graphicFrame macro="">
        <xdr:nvGraphicFramePr>
          <xdr:cNvPr id="55" name="Gráfico 54">
            <a:extLst>
              <a:ext uri="{FF2B5EF4-FFF2-40B4-BE49-F238E27FC236}">
                <a16:creationId xmlns:a16="http://schemas.microsoft.com/office/drawing/2014/main" id="{D1D07FC1-6BCA-4AE6-BC88-FD4B8CC53C9E}"/>
              </a:ext>
            </a:extLst>
          </xdr:cNvPr>
          <xdr:cNvGraphicFramePr>
            <a:graphicFrameLocks/>
          </xdr:cNvGraphicFramePr>
        </xdr:nvGraphicFramePr>
        <xdr:xfrm>
          <a:off x="7650414" y="2480501"/>
          <a:ext cx="3582682" cy="2612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 editAs="oneCell">
    <xdr:from>
      <xdr:col>0</xdr:col>
      <xdr:colOff>0</xdr:colOff>
      <xdr:row>14</xdr:row>
      <xdr:rowOff>9777</xdr:rowOff>
    </xdr:from>
    <xdr:to>
      <xdr:col>0</xdr:col>
      <xdr:colOff>1541318</xdr:colOff>
      <xdr:row>32</xdr:row>
      <xdr:rowOff>40821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9" name="Meses (Start Date)">
              <a:extLst>
                <a:ext uri="{FF2B5EF4-FFF2-40B4-BE49-F238E27FC236}">
                  <a16:creationId xmlns:a16="http://schemas.microsoft.com/office/drawing/2014/main" id="{A021BC01-8421-479F-ADB1-47F91DDCC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53027"/>
              <a:ext cx="1541318" cy="3460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A" refreshedDate="46056.538275578707" createdVersion="8" refreshedVersion="8" minRefreshableVersion="3" recordCount="295" xr:uid="{8610AF3A-99B3-45B2-B667-CD315DB4E94E}">
  <cacheSource type="worksheet">
    <worksheetSource name="tab_xbox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39456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x v="0"/>
  </r>
  <r>
    <n v="3232"/>
    <s v="Maria Oliveira"/>
    <x v="1"/>
    <x v="1"/>
    <x v="1"/>
    <n v="5"/>
    <x v="1"/>
    <s v="No"/>
    <s v="-"/>
    <s v="No"/>
    <n v="0"/>
    <n v="0"/>
    <x v="1"/>
  </r>
  <r>
    <n v="3233"/>
    <s v="Lucas Fernandes"/>
    <x v="2"/>
    <x v="2"/>
    <x v="0"/>
    <n v="10"/>
    <x v="2"/>
    <s v="No"/>
    <s v="-"/>
    <s v="Yes"/>
    <n v="20"/>
    <n v="10"/>
    <x v="2"/>
  </r>
  <r>
    <n v="3234"/>
    <s v="Ana Souza"/>
    <x v="0"/>
    <x v="3"/>
    <x v="1"/>
    <n v="15"/>
    <x v="0"/>
    <s v="Yes"/>
    <n v="30"/>
    <s v="Yes"/>
    <n v="20"/>
    <n v="3"/>
    <x v="3"/>
  </r>
  <r>
    <n v="3235"/>
    <s v="Pedro Gonçalves"/>
    <x v="1"/>
    <x v="4"/>
    <x v="0"/>
    <n v="5"/>
    <x v="0"/>
    <s v="No"/>
    <s v="-"/>
    <s v="No"/>
    <n v="0"/>
    <n v="1"/>
    <x v="4"/>
  </r>
  <r>
    <n v="3236"/>
    <s v="Felipe Costa"/>
    <x v="2"/>
    <x v="5"/>
    <x v="1"/>
    <n v="10"/>
    <x v="0"/>
    <s v="No"/>
    <s v="-"/>
    <s v="Yes"/>
    <n v="20"/>
    <n v="2"/>
    <x v="5"/>
  </r>
  <r>
    <n v="3237"/>
    <s v="Camila Ribeiro"/>
    <x v="0"/>
    <x v="6"/>
    <x v="0"/>
    <n v="15"/>
    <x v="2"/>
    <s v="Yes"/>
    <n v="30"/>
    <s v="Yes"/>
    <n v="20"/>
    <n v="10"/>
    <x v="6"/>
  </r>
  <r>
    <n v="3238"/>
    <s v="André Mendes"/>
    <x v="1"/>
    <x v="7"/>
    <x v="0"/>
    <n v="5"/>
    <x v="1"/>
    <s v="No"/>
    <s v="-"/>
    <s v="No"/>
    <n v="0"/>
    <n v="0"/>
    <x v="1"/>
  </r>
  <r>
    <n v="3239"/>
    <s v="Sofia Almeida"/>
    <x v="0"/>
    <x v="4"/>
    <x v="1"/>
    <n v="15"/>
    <x v="0"/>
    <s v="Yes"/>
    <n v="30"/>
    <s v="Yes"/>
    <n v="20"/>
    <n v="5"/>
    <x v="0"/>
  </r>
  <r>
    <n v="3240"/>
    <s v="Bruno Martins"/>
    <x v="2"/>
    <x v="8"/>
    <x v="0"/>
    <n v="10"/>
    <x v="2"/>
    <s v="No"/>
    <s v="-"/>
    <s v="Yes"/>
    <n v="20"/>
    <n v="15"/>
    <x v="7"/>
  </r>
  <r>
    <n v="3241"/>
    <s v="Rita Castro"/>
    <x v="1"/>
    <x v="9"/>
    <x v="1"/>
    <n v="5"/>
    <x v="0"/>
    <s v="No"/>
    <s v="-"/>
    <s v="No"/>
    <n v="0"/>
    <n v="1"/>
    <x v="4"/>
  </r>
  <r>
    <n v="3242"/>
    <s v="Marco Túlio"/>
    <x v="0"/>
    <x v="10"/>
    <x v="0"/>
    <n v="15"/>
    <x v="1"/>
    <s v="Yes"/>
    <n v="30"/>
    <s v="Yes"/>
    <n v="20"/>
    <n v="20"/>
    <x v="8"/>
  </r>
  <r>
    <n v="3243"/>
    <s v="Lívia Silveira"/>
    <x v="2"/>
    <x v="11"/>
    <x v="1"/>
    <n v="10"/>
    <x v="0"/>
    <s v="No"/>
    <s v="-"/>
    <s v="Yes"/>
    <n v="20"/>
    <n v="10"/>
    <x v="2"/>
  </r>
  <r>
    <n v="3244"/>
    <s v="Diogo Sousa"/>
    <x v="1"/>
    <x v="12"/>
    <x v="0"/>
    <n v="5"/>
    <x v="2"/>
    <s v="No"/>
    <s v="-"/>
    <s v="No"/>
    <n v="0"/>
    <n v="0"/>
    <x v="1"/>
  </r>
  <r>
    <n v="3245"/>
    <s v="Fernanda Lima"/>
    <x v="0"/>
    <x v="13"/>
    <x v="1"/>
    <n v="15"/>
    <x v="0"/>
    <s v="Yes"/>
    <n v="30"/>
    <s v="Yes"/>
    <n v="20"/>
    <n v="8"/>
    <x v="9"/>
  </r>
  <r>
    <n v="3246"/>
    <s v="Caio Pereira"/>
    <x v="2"/>
    <x v="14"/>
    <x v="0"/>
    <n v="10"/>
    <x v="1"/>
    <s v="No"/>
    <s v="-"/>
    <s v="Yes"/>
    <n v="20"/>
    <n v="12"/>
    <x v="10"/>
  </r>
  <r>
    <n v="3247"/>
    <s v="Beatriz Gomes"/>
    <x v="1"/>
    <x v="15"/>
    <x v="1"/>
    <n v="5"/>
    <x v="0"/>
    <s v="No"/>
    <s v="-"/>
    <s v="No"/>
    <n v="0"/>
    <n v="2"/>
    <x v="11"/>
  </r>
  <r>
    <n v="3248"/>
    <s v="Cesar Oliveira"/>
    <x v="0"/>
    <x v="16"/>
    <x v="0"/>
    <n v="15"/>
    <x v="2"/>
    <s v="Yes"/>
    <n v="30"/>
    <s v="Yes"/>
    <n v="20"/>
    <n v="7"/>
    <x v="12"/>
  </r>
  <r>
    <n v="3249"/>
    <s v="Débora Machado"/>
    <x v="2"/>
    <x v="17"/>
    <x v="1"/>
    <n v="10"/>
    <x v="0"/>
    <s v="No"/>
    <s v="-"/>
    <s v="Yes"/>
    <n v="20"/>
    <n v="5"/>
    <x v="13"/>
  </r>
  <r>
    <n v="3250"/>
    <s v="Eduardo Vargas"/>
    <x v="1"/>
    <x v="18"/>
    <x v="0"/>
    <n v="5"/>
    <x v="1"/>
    <s v="No"/>
    <s v="-"/>
    <s v="No"/>
    <n v="0"/>
    <n v="0"/>
    <x v="1"/>
  </r>
  <r>
    <n v="3251"/>
    <s v="Gabriela Santos"/>
    <x v="0"/>
    <x v="19"/>
    <x v="1"/>
    <n v="15"/>
    <x v="0"/>
    <s v="Yes"/>
    <n v="30"/>
    <s v="Yes"/>
    <n v="20"/>
    <n v="3"/>
    <x v="3"/>
  </r>
  <r>
    <n v="3252"/>
    <s v="Henrique Dias"/>
    <x v="2"/>
    <x v="20"/>
    <x v="0"/>
    <n v="10"/>
    <x v="2"/>
    <s v="No"/>
    <s v="-"/>
    <s v="Yes"/>
    <n v="20"/>
    <n v="15"/>
    <x v="7"/>
  </r>
  <r>
    <n v="3253"/>
    <s v="Isabela Moreira"/>
    <x v="1"/>
    <x v="21"/>
    <x v="1"/>
    <n v="5"/>
    <x v="0"/>
    <s v="No"/>
    <s v="-"/>
    <s v="No"/>
    <n v="0"/>
    <n v="1"/>
    <x v="4"/>
  </r>
  <r>
    <n v="3254"/>
    <s v="Joaquim Barbosa"/>
    <x v="0"/>
    <x v="22"/>
    <x v="0"/>
    <n v="15"/>
    <x v="1"/>
    <s v="Yes"/>
    <n v="30"/>
    <s v="Yes"/>
    <n v="20"/>
    <n v="20"/>
    <x v="8"/>
  </r>
  <r>
    <n v="3255"/>
    <s v="Lara Rocha"/>
    <x v="2"/>
    <x v="23"/>
    <x v="1"/>
    <n v="10"/>
    <x v="0"/>
    <s v="No"/>
    <s v="-"/>
    <s v="Yes"/>
    <n v="20"/>
    <n v="10"/>
    <x v="2"/>
  </r>
  <r>
    <n v="3256"/>
    <s v="Matheus Silva"/>
    <x v="1"/>
    <x v="24"/>
    <x v="0"/>
    <n v="5"/>
    <x v="2"/>
    <s v="No"/>
    <s v="-"/>
    <s v="No"/>
    <n v="0"/>
    <n v="0"/>
    <x v="1"/>
  </r>
  <r>
    <n v="3257"/>
    <s v="Nicole Costa"/>
    <x v="0"/>
    <x v="25"/>
    <x v="1"/>
    <n v="15"/>
    <x v="0"/>
    <s v="Yes"/>
    <n v="30"/>
    <s v="Yes"/>
    <n v="20"/>
    <n v="5"/>
    <x v="0"/>
  </r>
  <r>
    <n v="3258"/>
    <s v="Otávio Mendonça"/>
    <x v="2"/>
    <x v="26"/>
    <x v="0"/>
    <n v="10"/>
    <x v="1"/>
    <s v="No"/>
    <s v="-"/>
    <s v="Yes"/>
    <n v="20"/>
    <n v="15"/>
    <x v="7"/>
  </r>
  <r>
    <n v="3259"/>
    <s v="Paula Ferreira"/>
    <x v="1"/>
    <x v="27"/>
    <x v="1"/>
    <n v="5"/>
    <x v="0"/>
    <s v="No"/>
    <s v="-"/>
    <s v="No"/>
    <n v="0"/>
    <n v="1"/>
    <x v="4"/>
  </r>
  <r>
    <n v="3260"/>
    <s v="Raquel Alves"/>
    <x v="0"/>
    <x v="28"/>
    <x v="0"/>
    <n v="15"/>
    <x v="2"/>
    <s v="Yes"/>
    <n v="30"/>
    <s v="Yes"/>
    <n v="20"/>
    <n v="7"/>
    <x v="12"/>
  </r>
  <r>
    <n v="3261"/>
    <s v="Samuel Pires"/>
    <x v="2"/>
    <x v="29"/>
    <x v="1"/>
    <n v="10"/>
    <x v="0"/>
    <s v="No"/>
    <s v="-"/>
    <s v="Yes"/>
    <n v="20"/>
    <n v="10"/>
    <x v="2"/>
  </r>
  <r>
    <n v="3262"/>
    <s v="Tânia Barros"/>
    <x v="1"/>
    <x v="30"/>
    <x v="0"/>
    <n v="5"/>
    <x v="1"/>
    <s v="No"/>
    <s v="-"/>
    <s v="No"/>
    <n v="0"/>
    <n v="0"/>
    <x v="1"/>
  </r>
  <r>
    <n v="3263"/>
    <s v="Vinicius Lima"/>
    <x v="0"/>
    <x v="31"/>
    <x v="1"/>
    <n v="15"/>
    <x v="0"/>
    <s v="Yes"/>
    <n v="30"/>
    <s v="Yes"/>
    <n v="20"/>
    <n v="3"/>
    <x v="3"/>
  </r>
  <r>
    <n v="3264"/>
    <s v="Yasmin Teixeira"/>
    <x v="2"/>
    <x v="32"/>
    <x v="0"/>
    <n v="10"/>
    <x v="2"/>
    <s v="No"/>
    <s v="-"/>
    <s v="Yes"/>
    <n v="20"/>
    <n v="15"/>
    <x v="7"/>
  </r>
  <r>
    <n v="3265"/>
    <s v="Zé Carlos"/>
    <x v="1"/>
    <x v="33"/>
    <x v="1"/>
    <n v="5"/>
    <x v="0"/>
    <s v="No"/>
    <s v="-"/>
    <s v="No"/>
    <n v="0"/>
    <n v="1"/>
    <x v="4"/>
  </r>
  <r>
    <n v="3266"/>
    <s v="Amanda Nogueira"/>
    <x v="1"/>
    <x v="34"/>
    <x v="0"/>
    <n v="5"/>
    <x v="0"/>
    <s v="No"/>
    <s v="-"/>
    <s v="No"/>
    <n v="0"/>
    <n v="0"/>
    <x v="1"/>
  </r>
  <r>
    <n v="3267"/>
    <s v="Bruno Cavalheiro"/>
    <x v="0"/>
    <x v="35"/>
    <x v="1"/>
    <n v="15"/>
    <x v="2"/>
    <s v="Yes"/>
    <n v="30"/>
    <s v="Yes"/>
    <n v="20"/>
    <n v="7"/>
    <x v="12"/>
  </r>
  <r>
    <n v="3268"/>
    <s v="Carla Dias"/>
    <x v="2"/>
    <x v="36"/>
    <x v="0"/>
    <n v="10"/>
    <x v="1"/>
    <s v="No"/>
    <s v="-"/>
    <s v="Yes"/>
    <n v="20"/>
    <n v="10"/>
    <x v="2"/>
  </r>
  <r>
    <n v="3269"/>
    <s v="Diego Fontes"/>
    <x v="1"/>
    <x v="37"/>
    <x v="1"/>
    <n v="5"/>
    <x v="2"/>
    <s v="No"/>
    <s v="-"/>
    <s v="No"/>
    <n v="0"/>
    <n v="1"/>
    <x v="4"/>
  </r>
  <r>
    <n v="3270"/>
    <s v="Eunice Lima"/>
    <x v="0"/>
    <x v="38"/>
    <x v="0"/>
    <n v="15"/>
    <x v="0"/>
    <s v="Yes"/>
    <n v="30"/>
    <s v="Yes"/>
    <n v="20"/>
    <n v="15"/>
    <x v="14"/>
  </r>
  <r>
    <n v="3271"/>
    <s v="Fábio Martins"/>
    <x v="2"/>
    <x v="39"/>
    <x v="1"/>
    <n v="10"/>
    <x v="0"/>
    <s v="No"/>
    <s v="-"/>
    <s v="Yes"/>
    <n v="20"/>
    <n v="5"/>
    <x v="13"/>
  </r>
  <r>
    <n v="3272"/>
    <s v="Gisele Araújo"/>
    <x v="1"/>
    <x v="40"/>
    <x v="0"/>
    <n v="5"/>
    <x v="1"/>
    <s v="No"/>
    <s v="-"/>
    <s v="No"/>
    <n v="0"/>
    <n v="0"/>
    <x v="1"/>
  </r>
  <r>
    <n v="3273"/>
    <s v="Hélio Castro"/>
    <x v="0"/>
    <x v="41"/>
    <x v="1"/>
    <n v="15"/>
    <x v="2"/>
    <s v="Yes"/>
    <n v="30"/>
    <s v="Yes"/>
    <n v="20"/>
    <n v="20"/>
    <x v="8"/>
  </r>
  <r>
    <n v="3274"/>
    <s v="Ingrid Menezes"/>
    <x v="2"/>
    <x v="42"/>
    <x v="0"/>
    <n v="10"/>
    <x v="2"/>
    <s v="No"/>
    <s v="-"/>
    <s v="Yes"/>
    <n v="20"/>
    <n v="12"/>
    <x v="10"/>
  </r>
  <r>
    <n v="3275"/>
    <s v="Jorge Baptista"/>
    <x v="1"/>
    <x v="43"/>
    <x v="1"/>
    <n v="5"/>
    <x v="0"/>
    <s v="No"/>
    <s v="-"/>
    <s v="No"/>
    <n v="0"/>
    <n v="2"/>
    <x v="11"/>
  </r>
  <r>
    <n v="3276"/>
    <s v="Kléber Oliveira"/>
    <x v="0"/>
    <x v="44"/>
    <x v="0"/>
    <n v="15"/>
    <x v="1"/>
    <s v="Yes"/>
    <n v="30"/>
    <s v="Yes"/>
    <n v="20"/>
    <n v="5"/>
    <x v="0"/>
  </r>
  <r>
    <n v="3277"/>
    <s v="Luciana Freitas"/>
    <x v="2"/>
    <x v="45"/>
    <x v="1"/>
    <n v="10"/>
    <x v="0"/>
    <s v="No"/>
    <s v="-"/>
    <s v="Yes"/>
    <n v="20"/>
    <n v="10"/>
    <x v="2"/>
  </r>
  <r>
    <n v="3278"/>
    <s v="Márcia Eller"/>
    <x v="1"/>
    <x v="46"/>
    <x v="0"/>
    <n v="5"/>
    <x v="2"/>
    <s v="No"/>
    <s v="-"/>
    <s v="No"/>
    <n v="0"/>
    <n v="0"/>
    <x v="1"/>
  </r>
  <r>
    <n v="3279"/>
    <s v="Nilo Peçanha"/>
    <x v="0"/>
    <x v="47"/>
    <x v="1"/>
    <n v="15"/>
    <x v="0"/>
    <s v="Yes"/>
    <n v="30"/>
    <s v="Yes"/>
    <n v="20"/>
    <n v="3"/>
    <x v="3"/>
  </r>
  <r>
    <n v="3280"/>
    <s v="Oscar Neves"/>
    <x v="2"/>
    <x v="48"/>
    <x v="0"/>
    <n v="10"/>
    <x v="1"/>
    <s v="No"/>
    <s v="-"/>
    <s v="Yes"/>
    <n v="20"/>
    <n v="15"/>
    <x v="7"/>
  </r>
  <r>
    <n v="3281"/>
    <s v="Patrícia Soares"/>
    <x v="1"/>
    <x v="49"/>
    <x v="1"/>
    <n v="5"/>
    <x v="0"/>
    <s v="No"/>
    <s v="-"/>
    <s v="No"/>
    <n v="0"/>
    <n v="1"/>
    <x v="4"/>
  </r>
  <r>
    <n v="3282"/>
    <s v="Quirino Gonçalves"/>
    <x v="0"/>
    <x v="50"/>
    <x v="0"/>
    <n v="15"/>
    <x v="2"/>
    <s v="Yes"/>
    <n v="30"/>
    <s v="Yes"/>
    <n v="20"/>
    <n v="7"/>
    <x v="12"/>
  </r>
  <r>
    <n v="3283"/>
    <s v="Raul Machado"/>
    <x v="2"/>
    <x v="51"/>
    <x v="1"/>
    <n v="10"/>
    <x v="0"/>
    <s v="No"/>
    <s v="-"/>
    <s v="Yes"/>
    <n v="20"/>
    <n v="10"/>
    <x v="2"/>
  </r>
  <r>
    <n v="3284"/>
    <s v="Sônia Lobo"/>
    <x v="1"/>
    <x v="52"/>
    <x v="0"/>
    <n v="5"/>
    <x v="1"/>
    <s v="No"/>
    <s v="-"/>
    <s v="No"/>
    <n v="0"/>
    <n v="0"/>
    <x v="1"/>
  </r>
  <r>
    <n v="3285"/>
    <s v="Tiago Ramos"/>
    <x v="0"/>
    <x v="53"/>
    <x v="1"/>
    <n v="15"/>
    <x v="0"/>
    <s v="Yes"/>
    <n v="30"/>
    <s v="Yes"/>
    <n v="20"/>
    <n v="20"/>
    <x v="8"/>
  </r>
  <r>
    <n v="3286"/>
    <s v="Ugo Pires"/>
    <x v="2"/>
    <x v="54"/>
    <x v="0"/>
    <n v="10"/>
    <x v="2"/>
    <s v="No"/>
    <s v="-"/>
    <s v="Yes"/>
    <n v="20"/>
    <n v="15"/>
    <x v="7"/>
  </r>
  <r>
    <n v="3287"/>
    <s v="Valéria Nobre"/>
    <x v="1"/>
    <x v="55"/>
    <x v="1"/>
    <n v="5"/>
    <x v="0"/>
    <s v="No"/>
    <s v="-"/>
    <s v="No"/>
    <n v="0"/>
    <n v="1"/>
    <x v="4"/>
  </r>
  <r>
    <n v="3288"/>
    <s v="William Siqueira"/>
    <x v="0"/>
    <x v="56"/>
    <x v="0"/>
    <n v="15"/>
    <x v="1"/>
    <s v="Yes"/>
    <n v="30"/>
    <s v="Yes"/>
    <n v="20"/>
    <n v="3"/>
    <x v="3"/>
  </r>
  <r>
    <n v="3289"/>
    <s v="Xuxa Meneghel"/>
    <x v="2"/>
    <x v="57"/>
    <x v="1"/>
    <n v="10"/>
    <x v="0"/>
    <s v="No"/>
    <s v="-"/>
    <s v="Yes"/>
    <n v="20"/>
    <n v="10"/>
    <x v="2"/>
  </r>
  <r>
    <n v="3290"/>
    <s v="Yara Figueiredo"/>
    <x v="1"/>
    <x v="58"/>
    <x v="0"/>
    <n v="5"/>
    <x v="2"/>
    <s v="No"/>
    <s v="-"/>
    <s v="No"/>
    <n v="0"/>
    <n v="0"/>
    <x v="1"/>
  </r>
  <r>
    <n v="3291"/>
    <s v="Zacarias Alves"/>
    <x v="0"/>
    <x v="59"/>
    <x v="1"/>
    <n v="15"/>
    <x v="0"/>
    <s v="Yes"/>
    <n v="30"/>
    <s v="Yes"/>
    <n v="20"/>
    <n v="5"/>
    <x v="0"/>
  </r>
  <r>
    <n v="3292"/>
    <s v="Amanda Bynes"/>
    <x v="2"/>
    <x v="60"/>
    <x v="0"/>
    <n v="10"/>
    <x v="1"/>
    <s v="No"/>
    <s v="-"/>
    <s v="Yes"/>
    <n v="20"/>
    <n v="15"/>
    <x v="7"/>
  </r>
  <r>
    <n v="3293"/>
    <s v="Bruno Mars"/>
    <x v="1"/>
    <x v="61"/>
    <x v="1"/>
    <n v="5"/>
    <x v="0"/>
    <s v="No"/>
    <s v="-"/>
    <s v="No"/>
    <n v="0"/>
    <n v="1"/>
    <x v="4"/>
  </r>
  <r>
    <n v="3294"/>
    <s v="Carla Bruni"/>
    <x v="0"/>
    <x v="62"/>
    <x v="0"/>
    <n v="15"/>
    <x v="2"/>
    <s v="Yes"/>
    <n v="30"/>
    <s v="Yes"/>
    <n v="20"/>
    <n v="20"/>
    <x v="8"/>
  </r>
  <r>
    <n v="3295"/>
    <s v="Diego Maradona"/>
    <x v="2"/>
    <x v="63"/>
    <x v="1"/>
    <n v="10"/>
    <x v="0"/>
    <s v="No"/>
    <s v="-"/>
    <s v="Yes"/>
    <n v="20"/>
    <n v="5"/>
    <x v="13"/>
  </r>
  <r>
    <n v="3296"/>
    <s v="Estela Marques"/>
    <x v="1"/>
    <x v="64"/>
    <x v="1"/>
    <n v="5"/>
    <x v="0"/>
    <s v="No"/>
    <s v="-"/>
    <s v="No"/>
    <n v="0"/>
    <n v="0"/>
    <x v="1"/>
  </r>
  <r>
    <n v="3297"/>
    <s v="Fábio Nobre"/>
    <x v="0"/>
    <x v="65"/>
    <x v="0"/>
    <n v="15"/>
    <x v="2"/>
    <s v="Yes"/>
    <n v="30"/>
    <s v="Yes"/>
    <n v="20"/>
    <n v="7"/>
    <x v="12"/>
  </r>
  <r>
    <n v="3298"/>
    <s v="Gabriel Oliveira"/>
    <x v="2"/>
    <x v="66"/>
    <x v="1"/>
    <n v="10"/>
    <x v="1"/>
    <s v="No"/>
    <s v="-"/>
    <s v="Yes"/>
    <n v="20"/>
    <n v="10"/>
    <x v="2"/>
  </r>
  <r>
    <n v="3299"/>
    <s v="Helena Santos"/>
    <x v="1"/>
    <x v="67"/>
    <x v="0"/>
    <n v="5"/>
    <x v="2"/>
    <s v="No"/>
    <s v="-"/>
    <s v="No"/>
    <n v="0"/>
    <n v="1"/>
    <x v="4"/>
  </r>
  <r>
    <n v="3300"/>
    <s v="Ivan Carvalho"/>
    <x v="0"/>
    <x v="68"/>
    <x v="1"/>
    <n v="15"/>
    <x v="0"/>
    <s v="Yes"/>
    <n v="30"/>
    <s v="Yes"/>
    <n v="20"/>
    <n v="15"/>
    <x v="14"/>
  </r>
  <r>
    <n v="3301"/>
    <s v="Júlia Ferreira"/>
    <x v="2"/>
    <x v="69"/>
    <x v="0"/>
    <n v="10"/>
    <x v="0"/>
    <s v="No"/>
    <s v="-"/>
    <s v="Yes"/>
    <n v="20"/>
    <n v="5"/>
    <x v="13"/>
  </r>
  <r>
    <n v="3302"/>
    <s v="Karla Alves"/>
    <x v="1"/>
    <x v="70"/>
    <x v="1"/>
    <n v="5"/>
    <x v="1"/>
    <s v="No"/>
    <s v="-"/>
    <s v="No"/>
    <n v="0"/>
    <n v="0"/>
    <x v="1"/>
  </r>
  <r>
    <n v="3303"/>
    <s v="Lucas Mendes"/>
    <x v="0"/>
    <x v="71"/>
    <x v="0"/>
    <n v="15"/>
    <x v="2"/>
    <s v="Yes"/>
    <n v="30"/>
    <s v="Yes"/>
    <n v="20"/>
    <n v="20"/>
    <x v="8"/>
  </r>
  <r>
    <n v="3304"/>
    <s v="Mônica Gomes"/>
    <x v="2"/>
    <x v="72"/>
    <x v="1"/>
    <n v="10"/>
    <x v="2"/>
    <s v="No"/>
    <s v="-"/>
    <s v="Yes"/>
    <n v="20"/>
    <n v="12"/>
    <x v="10"/>
  </r>
  <r>
    <n v="3305"/>
    <s v="Norberto Queiroz"/>
    <x v="1"/>
    <x v="73"/>
    <x v="0"/>
    <n v="5"/>
    <x v="0"/>
    <s v="No"/>
    <s v="-"/>
    <s v="No"/>
    <n v="0"/>
    <n v="2"/>
    <x v="11"/>
  </r>
  <r>
    <n v="3306"/>
    <s v="Otávio Barros"/>
    <x v="0"/>
    <x v="74"/>
    <x v="1"/>
    <n v="15"/>
    <x v="1"/>
    <s v="Yes"/>
    <n v="30"/>
    <s v="Yes"/>
    <n v="20"/>
    <n v="5"/>
    <x v="0"/>
  </r>
  <r>
    <n v="3307"/>
    <s v="Paula Vieira"/>
    <x v="2"/>
    <x v="75"/>
    <x v="0"/>
    <n v="10"/>
    <x v="0"/>
    <s v="No"/>
    <s v="-"/>
    <s v="Yes"/>
    <n v="20"/>
    <n v="10"/>
    <x v="2"/>
  </r>
  <r>
    <n v="3308"/>
    <s v="Quentin Ramos"/>
    <x v="1"/>
    <x v="76"/>
    <x v="1"/>
    <n v="5"/>
    <x v="2"/>
    <s v="No"/>
    <s v="-"/>
    <s v="No"/>
    <n v="0"/>
    <n v="0"/>
    <x v="1"/>
  </r>
  <r>
    <n v="3309"/>
    <s v="Raquel Novaes"/>
    <x v="0"/>
    <x v="77"/>
    <x v="0"/>
    <n v="15"/>
    <x v="0"/>
    <s v="Yes"/>
    <n v="30"/>
    <s v="Yes"/>
    <n v="20"/>
    <n v="3"/>
    <x v="3"/>
  </r>
  <r>
    <n v="3310"/>
    <s v="Samantha Lopes"/>
    <x v="2"/>
    <x v="78"/>
    <x v="1"/>
    <n v="10"/>
    <x v="1"/>
    <s v="No"/>
    <s v="-"/>
    <s v="Yes"/>
    <n v="20"/>
    <n v="15"/>
    <x v="7"/>
  </r>
  <r>
    <n v="3311"/>
    <s v="Tiago Martins"/>
    <x v="1"/>
    <x v="79"/>
    <x v="0"/>
    <n v="5"/>
    <x v="0"/>
    <s v="No"/>
    <s v="-"/>
    <s v="No"/>
    <n v="0"/>
    <n v="1"/>
    <x v="4"/>
  </r>
  <r>
    <n v="3312"/>
    <s v="Ulysses Guimarães"/>
    <x v="0"/>
    <x v="80"/>
    <x v="1"/>
    <n v="15"/>
    <x v="2"/>
    <s v="Yes"/>
    <n v="30"/>
    <s v="Yes"/>
    <n v="20"/>
    <n v="7"/>
    <x v="12"/>
  </r>
  <r>
    <n v="3313"/>
    <s v="Vanessa Silva"/>
    <x v="2"/>
    <x v="81"/>
    <x v="0"/>
    <n v="10"/>
    <x v="0"/>
    <s v="No"/>
    <s v="-"/>
    <s v="Yes"/>
    <n v="20"/>
    <n v="10"/>
    <x v="2"/>
  </r>
  <r>
    <n v="3314"/>
    <s v="William Carneiro"/>
    <x v="1"/>
    <x v="82"/>
    <x v="1"/>
    <n v="5"/>
    <x v="1"/>
    <s v="No"/>
    <s v="-"/>
    <s v="No"/>
    <n v="0"/>
    <n v="0"/>
    <x v="1"/>
  </r>
  <r>
    <n v="3315"/>
    <s v="Ximena Rocha"/>
    <x v="0"/>
    <x v="83"/>
    <x v="0"/>
    <n v="15"/>
    <x v="0"/>
    <s v="Yes"/>
    <n v="30"/>
    <s v="Yes"/>
    <n v="20"/>
    <n v="20"/>
    <x v="8"/>
  </r>
  <r>
    <n v="3316"/>
    <s v="Yasmin Figueiredo"/>
    <x v="2"/>
    <x v="84"/>
    <x v="1"/>
    <n v="10"/>
    <x v="2"/>
    <s v="No"/>
    <s v="-"/>
    <s v="Yes"/>
    <n v="20"/>
    <n v="15"/>
    <x v="7"/>
  </r>
  <r>
    <n v="3317"/>
    <s v="Zara Cunha"/>
    <x v="1"/>
    <x v="85"/>
    <x v="0"/>
    <n v="5"/>
    <x v="0"/>
    <s v="No"/>
    <s v="-"/>
    <s v="No"/>
    <n v="0"/>
    <n v="1"/>
    <x v="4"/>
  </r>
  <r>
    <n v="3318"/>
    <s v="Alan Teixeira"/>
    <x v="0"/>
    <x v="86"/>
    <x v="1"/>
    <n v="15"/>
    <x v="1"/>
    <s v="Yes"/>
    <n v="30"/>
    <s v="Yes"/>
    <n v="20"/>
    <n v="3"/>
    <x v="3"/>
  </r>
  <r>
    <n v="3319"/>
    <s v="Bárbara Oliveira"/>
    <x v="2"/>
    <x v="87"/>
    <x v="0"/>
    <n v="10"/>
    <x v="0"/>
    <s v="No"/>
    <s v="-"/>
    <s v="Yes"/>
    <n v="20"/>
    <n v="10"/>
    <x v="2"/>
  </r>
  <r>
    <n v="3320"/>
    <s v="Carlos Junqueira"/>
    <x v="1"/>
    <x v="88"/>
    <x v="1"/>
    <n v="5"/>
    <x v="2"/>
    <s v="No"/>
    <s v="-"/>
    <s v="No"/>
    <n v="0"/>
    <n v="0"/>
    <x v="1"/>
  </r>
  <r>
    <n v="3321"/>
    <s v="Daniela Moura"/>
    <x v="0"/>
    <x v="89"/>
    <x v="0"/>
    <n v="15"/>
    <x v="0"/>
    <s v="Yes"/>
    <n v="30"/>
    <s v="Yes"/>
    <n v="20"/>
    <n v="5"/>
    <x v="0"/>
  </r>
  <r>
    <n v="3322"/>
    <s v="Eduardo Lima"/>
    <x v="2"/>
    <x v="90"/>
    <x v="1"/>
    <n v="10"/>
    <x v="1"/>
    <s v="No"/>
    <s v="-"/>
    <s v="Yes"/>
    <n v="20"/>
    <n v="15"/>
    <x v="7"/>
  </r>
  <r>
    <n v="3323"/>
    <s v="Fabiana Araújo"/>
    <x v="1"/>
    <x v="91"/>
    <x v="0"/>
    <n v="5"/>
    <x v="0"/>
    <s v="No"/>
    <s v="-"/>
    <s v="No"/>
    <n v="0"/>
    <n v="1"/>
    <x v="4"/>
  </r>
  <r>
    <n v="3324"/>
    <s v="Geraldo Ribeiro"/>
    <x v="0"/>
    <x v="92"/>
    <x v="1"/>
    <n v="15"/>
    <x v="2"/>
    <s v="Yes"/>
    <n v="30"/>
    <s v="Yes"/>
    <n v="20"/>
    <n v="20"/>
    <x v="8"/>
  </r>
  <r>
    <n v="3325"/>
    <s v="Héctor Vargas"/>
    <x v="2"/>
    <x v="93"/>
    <x v="0"/>
    <n v="10"/>
    <x v="2"/>
    <s v="No"/>
    <s v="-"/>
    <s v="Yes"/>
    <n v="20"/>
    <n v="15"/>
    <x v="7"/>
  </r>
  <r>
    <n v="3326"/>
    <s v="Isabela Fonseca"/>
    <x v="1"/>
    <x v="94"/>
    <x v="1"/>
    <n v="5"/>
    <x v="1"/>
    <s v="No"/>
    <s v="-"/>
    <s v="No"/>
    <n v="0"/>
    <n v="0"/>
    <x v="1"/>
  </r>
  <r>
    <n v="3327"/>
    <s v="João Pedro Almeida"/>
    <x v="0"/>
    <x v="95"/>
    <x v="0"/>
    <n v="15"/>
    <x v="0"/>
    <s v="Yes"/>
    <n v="30"/>
    <s v="Yes"/>
    <n v="20"/>
    <n v="7"/>
    <x v="12"/>
  </r>
  <r>
    <n v="3328"/>
    <s v="Klara Costa"/>
    <x v="2"/>
    <x v="96"/>
    <x v="1"/>
    <n v="10"/>
    <x v="1"/>
    <s v="No"/>
    <s v="-"/>
    <s v="Yes"/>
    <n v="20"/>
    <n v="10"/>
    <x v="2"/>
  </r>
  <r>
    <n v="3329"/>
    <s v="Luciana Mendes"/>
    <x v="1"/>
    <x v="97"/>
    <x v="0"/>
    <n v="5"/>
    <x v="2"/>
    <s v="No"/>
    <s v="-"/>
    <s v="No"/>
    <n v="0"/>
    <n v="1"/>
    <x v="4"/>
  </r>
  <r>
    <n v="3330"/>
    <s v="Marcelo Gouveia"/>
    <x v="0"/>
    <x v="98"/>
    <x v="1"/>
    <n v="15"/>
    <x v="0"/>
    <s v="Yes"/>
    <n v="30"/>
    <s v="Yes"/>
    <n v="20"/>
    <n v="15"/>
    <x v="14"/>
  </r>
  <r>
    <n v="3331"/>
    <s v="Nívea Borges"/>
    <x v="2"/>
    <x v="99"/>
    <x v="0"/>
    <n v="10"/>
    <x v="0"/>
    <s v="No"/>
    <s v="-"/>
    <s v="Yes"/>
    <n v="20"/>
    <n v="5"/>
    <x v="13"/>
  </r>
  <r>
    <n v="3332"/>
    <s v="Oscar Nogueira"/>
    <x v="1"/>
    <x v="100"/>
    <x v="1"/>
    <n v="5"/>
    <x v="1"/>
    <s v="No"/>
    <s v="-"/>
    <s v="No"/>
    <n v="0"/>
    <n v="0"/>
    <x v="1"/>
  </r>
  <r>
    <n v="3333"/>
    <s v="Patrícia Alves"/>
    <x v="0"/>
    <x v="101"/>
    <x v="0"/>
    <n v="15"/>
    <x v="2"/>
    <s v="Yes"/>
    <n v="30"/>
    <s v="Yes"/>
    <n v="20"/>
    <n v="20"/>
    <x v="8"/>
  </r>
  <r>
    <n v="3334"/>
    <s v="Rafaela Silva"/>
    <x v="2"/>
    <x v="102"/>
    <x v="1"/>
    <n v="10"/>
    <x v="2"/>
    <s v="No"/>
    <s v="-"/>
    <s v="Yes"/>
    <n v="20"/>
    <n v="12"/>
    <x v="10"/>
  </r>
  <r>
    <n v="3335"/>
    <s v="Samantha Moraes"/>
    <x v="1"/>
    <x v="103"/>
    <x v="0"/>
    <n v="5"/>
    <x v="0"/>
    <s v="No"/>
    <s v="-"/>
    <s v="No"/>
    <n v="0"/>
    <n v="2"/>
    <x v="11"/>
  </r>
  <r>
    <n v="3336"/>
    <s v="Tatiana Rocha"/>
    <x v="1"/>
    <x v="104"/>
    <x v="0"/>
    <n v="5"/>
    <x v="0"/>
    <s v="No"/>
    <s v="-"/>
    <s v="No"/>
    <n v="0"/>
    <n v="0"/>
    <x v="1"/>
  </r>
  <r>
    <n v="3337"/>
    <s v="Ulisses Tavares"/>
    <x v="0"/>
    <x v="105"/>
    <x v="1"/>
    <n v="15"/>
    <x v="2"/>
    <s v="Yes"/>
    <n v="30"/>
    <s v="Yes"/>
    <n v="20"/>
    <n v="7"/>
    <x v="12"/>
  </r>
  <r>
    <n v="3338"/>
    <s v="Víctor Lemos"/>
    <x v="2"/>
    <x v="106"/>
    <x v="0"/>
    <n v="10"/>
    <x v="1"/>
    <s v="No"/>
    <s v="-"/>
    <s v="Yes"/>
    <n v="20"/>
    <n v="10"/>
    <x v="2"/>
  </r>
  <r>
    <n v="3339"/>
    <s v="Wilma Barros"/>
    <x v="1"/>
    <x v="107"/>
    <x v="1"/>
    <n v="5"/>
    <x v="2"/>
    <s v="No"/>
    <s v="-"/>
    <s v="No"/>
    <n v="0"/>
    <n v="1"/>
    <x v="4"/>
  </r>
  <r>
    <n v="3340"/>
    <s v="Xavier Nascimento"/>
    <x v="0"/>
    <x v="108"/>
    <x v="0"/>
    <n v="15"/>
    <x v="0"/>
    <s v="Yes"/>
    <n v="30"/>
    <s v="Yes"/>
    <n v="20"/>
    <n v="15"/>
    <x v="14"/>
  </r>
  <r>
    <n v="3341"/>
    <s v="Yago Pereira"/>
    <x v="2"/>
    <x v="109"/>
    <x v="1"/>
    <n v="10"/>
    <x v="0"/>
    <s v="No"/>
    <s v="-"/>
    <s v="Yes"/>
    <n v="20"/>
    <n v="5"/>
    <x v="13"/>
  </r>
  <r>
    <n v="3342"/>
    <s v="Zilda Ferreira"/>
    <x v="1"/>
    <x v="110"/>
    <x v="0"/>
    <n v="5"/>
    <x v="1"/>
    <s v="No"/>
    <s v="-"/>
    <s v="No"/>
    <n v="0"/>
    <n v="0"/>
    <x v="1"/>
  </r>
  <r>
    <n v="3343"/>
    <s v="Amanda Lopes"/>
    <x v="0"/>
    <x v="111"/>
    <x v="1"/>
    <n v="15"/>
    <x v="2"/>
    <s v="Yes"/>
    <n v="30"/>
    <s v="Yes"/>
    <n v="20"/>
    <n v="20"/>
    <x v="8"/>
  </r>
  <r>
    <n v="3344"/>
    <s v="Bruno Miranda"/>
    <x v="2"/>
    <x v="112"/>
    <x v="0"/>
    <n v="10"/>
    <x v="2"/>
    <s v="No"/>
    <s v="-"/>
    <s v="Yes"/>
    <n v="20"/>
    <n v="12"/>
    <x v="10"/>
  </r>
  <r>
    <n v="3345"/>
    <s v="Célia Torres"/>
    <x v="1"/>
    <x v="113"/>
    <x v="1"/>
    <n v="5"/>
    <x v="0"/>
    <s v="No"/>
    <s v="-"/>
    <s v="No"/>
    <n v="0"/>
    <n v="2"/>
    <x v="11"/>
  </r>
  <r>
    <n v="3346"/>
    <s v="Diogo Souza"/>
    <x v="0"/>
    <x v="114"/>
    <x v="0"/>
    <n v="15"/>
    <x v="1"/>
    <s v="Yes"/>
    <n v="30"/>
    <s v="Yes"/>
    <n v="20"/>
    <n v="5"/>
    <x v="0"/>
  </r>
  <r>
    <n v="3347"/>
    <s v="Elisa Castro"/>
    <x v="2"/>
    <x v="115"/>
    <x v="1"/>
    <n v="10"/>
    <x v="0"/>
    <s v="No"/>
    <s v="-"/>
    <s v="Yes"/>
    <n v="20"/>
    <n v="10"/>
    <x v="2"/>
  </r>
  <r>
    <n v="3348"/>
    <s v="Fátima Lima"/>
    <x v="1"/>
    <x v="116"/>
    <x v="0"/>
    <n v="5"/>
    <x v="2"/>
    <s v="No"/>
    <s v="-"/>
    <s v="No"/>
    <n v="0"/>
    <n v="0"/>
    <x v="1"/>
  </r>
  <r>
    <n v="3349"/>
    <s v="Geraldo Ribeiro"/>
    <x v="0"/>
    <x v="117"/>
    <x v="1"/>
    <n v="15"/>
    <x v="0"/>
    <s v="Yes"/>
    <n v="30"/>
    <s v="Yes"/>
    <n v="20"/>
    <n v="3"/>
    <x v="3"/>
  </r>
  <r>
    <n v="3350"/>
    <s v="Hélio Martins"/>
    <x v="2"/>
    <x v="118"/>
    <x v="0"/>
    <n v="10"/>
    <x v="1"/>
    <s v="No"/>
    <s v="-"/>
    <s v="Yes"/>
    <n v="20"/>
    <n v="15"/>
    <x v="7"/>
  </r>
  <r>
    <n v="3351"/>
    <s v="Íris Santos"/>
    <x v="1"/>
    <x v="119"/>
    <x v="1"/>
    <n v="5"/>
    <x v="0"/>
    <s v="No"/>
    <s v="-"/>
    <s v="No"/>
    <n v="0"/>
    <n v="1"/>
    <x v="4"/>
  </r>
  <r>
    <n v="3352"/>
    <s v="João Marcelo"/>
    <x v="0"/>
    <x v="120"/>
    <x v="0"/>
    <n v="15"/>
    <x v="2"/>
    <s v="Yes"/>
    <n v="30"/>
    <s v="Yes"/>
    <n v="20"/>
    <n v="7"/>
    <x v="12"/>
  </r>
  <r>
    <n v="3353"/>
    <s v="Larissa Gomes"/>
    <x v="2"/>
    <x v="121"/>
    <x v="1"/>
    <n v="10"/>
    <x v="0"/>
    <s v="No"/>
    <s v="-"/>
    <s v="Yes"/>
    <n v="20"/>
    <n v="10"/>
    <x v="2"/>
  </r>
  <r>
    <n v="3354"/>
    <s v="Márcio Silva"/>
    <x v="1"/>
    <x v="122"/>
    <x v="0"/>
    <n v="5"/>
    <x v="1"/>
    <s v="No"/>
    <s v="-"/>
    <s v="No"/>
    <n v="0"/>
    <n v="0"/>
    <x v="1"/>
  </r>
  <r>
    <n v="3355"/>
    <s v="Nadia Costa"/>
    <x v="0"/>
    <x v="123"/>
    <x v="1"/>
    <n v="15"/>
    <x v="0"/>
    <s v="Yes"/>
    <n v="30"/>
    <s v="Yes"/>
    <n v="20"/>
    <n v="20"/>
    <x v="8"/>
  </r>
  <r>
    <n v="3356"/>
    <s v="Oscar Almeida"/>
    <x v="2"/>
    <x v="124"/>
    <x v="0"/>
    <n v="10"/>
    <x v="2"/>
    <s v="No"/>
    <s v="-"/>
    <s v="Yes"/>
    <n v="20"/>
    <n v="15"/>
    <x v="7"/>
  </r>
  <r>
    <n v="3357"/>
    <s v="Patricia Soares"/>
    <x v="1"/>
    <x v="125"/>
    <x v="1"/>
    <n v="5"/>
    <x v="0"/>
    <s v="No"/>
    <s v="-"/>
    <s v="No"/>
    <n v="0"/>
    <n v="1"/>
    <x v="4"/>
  </r>
  <r>
    <n v="3358"/>
    <s v="Quênia Barros"/>
    <x v="0"/>
    <x v="126"/>
    <x v="0"/>
    <n v="15"/>
    <x v="1"/>
    <s v="Yes"/>
    <n v="30"/>
    <s v="Yes"/>
    <n v="20"/>
    <n v="3"/>
    <x v="3"/>
  </r>
  <r>
    <n v="3359"/>
    <s v="Rafael Torres"/>
    <x v="2"/>
    <x v="127"/>
    <x v="1"/>
    <n v="10"/>
    <x v="0"/>
    <s v="No"/>
    <s v="-"/>
    <s v="Yes"/>
    <n v="20"/>
    <n v="10"/>
    <x v="2"/>
  </r>
  <r>
    <n v="3360"/>
    <s v="Silvia Nascimento"/>
    <x v="1"/>
    <x v="128"/>
    <x v="0"/>
    <n v="5"/>
    <x v="2"/>
    <s v="No"/>
    <s v="-"/>
    <s v="No"/>
    <n v="0"/>
    <n v="0"/>
    <x v="1"/>
  </r>
  <r>
    <n v="3361"/>
    <s v="Tiago Mendes"/>
    <x v="0"/>
    <x v="129"/>
    <x v="1"/>
    <n v="15"/>
    <x v="0"/>
    <s v="Yes"/>
    <n v="30"/>
    <s v="Yes"/>
    <n v="20"/>
    <n v="15"/>
    <x v="14"/>
  </r>
  <r>
    <n v="3362"/>
    <s v="Ursula Silva"/>
    <x v="2"/>
    <x v="130"/>
    <x v="0"/>
    <n v="10"/>
    <x v="1"/>
    <s v="No"/>
    <s v="-"/>
    <s v="Yes"/>
    <n v="20"/>
    <n v="15"/>
    <x v="7"/>
  </r>
  <r>
    <n v="3363"/>
    <s v="Vanessa Moraes"/>
    <x v="1"/>
    <x v="131"/>
    <x v="1"/>
    <n v="5"/>
    <x v="0"/>
    <s v="No"/>
    <s v="-"/>
    <s v="No"/>
    <n v="0"/>
    <n v="1"/>
    <x v="4"/>
  </r>
  <r>
    <n v="3364"/>
    <s v="Waldir Junior"/>
    <x v="0"/>
    <x v="132"/>
    <x v="0"/>
    <n v="15"/>
    <x v="2"/>
    <s v="Yes"/>
    <n v="30"/>
    <s v="Yes"/>
    <n v="20"/>
    <n v="7"/>
    <x v="12"/>
  </r>
  <r>
    <n v="3365"/>
    <s v="Xavier Lopes"/>
    <x v="2"/>
    <x v="133"/>
    <x v="1"/>
    <n v="10"/>
    <x v="0"/>
    <s v="No"/>
    <s v="-"/>
    <s v="Yes"/>
    <n v="20"/>
    <n v="10"/>
    <x v="2"/>
  </r>
  <r>
    <n v="3366"/>
    <s v="Yolanda Freitas"/>
    <x v="1"/>
    <x v="134"/>
    <x v="0"/>
    <n v="5"/>
    <x v="0"/>
    <s v="No"/>
    <s v="-"/>
    <s v="No"/>
    <n v="0"/>
    <n v="0"/>
    <x v="1"/>
  </r>
  <r>
    <n v="3367"/>
    <s v="Zacarias Nunes"/>
    <x v="0"/>
    <x v="135"/>
    <x v="1"/>
    <n v="15"/>
    <x v="2"/>
    <s v="Yes"/>
    <n v="30"/>
    <s v="Yes"/>
    <n v="20"/>
    <n v="7"/>
    <x v="12"/>
  </r>
  <r>
    <n v="3368"/>
    <s v="Ana Clara Barreto"/>
    <x v="2"/>
    <x v="136"/>
    <x v="0"/>
    <n v="10"/>
    <x v="1"/>
    <s v="No"/>
    <s v="-"/>
    <s v="Yes"/>
    <n v="20"/>
    <n v="10"/>
    <x v="2"/>
  </r>
  <r>
    <n v="3369"/>
    <s v="Bruno Henrique"/>
    <x v="1"/>
    <x v="137"/>
    <x v="1"/>
    <n v="5"/>
    <x v="2"/>
    <s v="No"/>
    <s v="-"/>
    <s v="No"/>
    <n v="0"/>
    <n v="1"/>
    <x v="4"/>
  </r>
  <r>
    <n v="3370"/>
    <s v="Carlos Eduardo"/>
    <x v="0"/>
    <x v="138"/>
    <x v="0"/>
    <n v="15"/>
    <x v="0"/>
    <s v="Yes"/>
    <n v="30"/>
    <s v="Yes"/>
    <n v="20"/>
    <n v="15"/>
    <x v="14"/>
  </r>
  <r>
    <n v="3371"/>
    <s v="Débora Lima"/>
    <x v="2"/>
    <x v="139"/>
    <x v="1"/>
    <n v="10"/>
    <x v="0"/>
    <s v="No"/>
    <s v="-"/>
    <s v="Yes"/>
    <n v="20"/>
    <n v="5"/>
    <x v="13"/>
  </r>
  <r>
    <n v="3372"/>
    <s v="Elisa Neves"/>
    <x v="1"/>
    <x v="140"/>
    <x v="0"/>
    <n v="5"/>
    <x v="1"/>
    <s v="No"/>
    <s v="-"/>
    <s v="No"/>
    <n v="0"/>
    <n v="0"/>
    <x v="1"/>
  </r>
  <r>
    <n v="3373"/>
    <s v="Fabiano Gomes"/>
    <x v="0"/>
    <x v="141"/>
    <x v="1"/>
    <n v="15"/>
    <x v="2"/>
    <s v="Yes"/>
    <n v="30"/>
    <s v="Yes"/>
    <n v="20"/>
    <n v="20"/>
    <x v="8"/>
  </r>
  <r>
    <n v="3374"/>
    <s v="Gisele Oliveira"/>
    <x v="2"/>
    <x v="142"/>
    <x v="0"/>
    <n v="10"/>
    <x v="2"/>
    <s v="No"/>
    <s v="-"/>
    <s v="Yes"/>
    <n v="20"/>
    <n v="12"/>
    <x v="10"/>
  </r>
  <r>
    <n v="3375"/>
    <s v="Héctor Silva"/>
    <x v="1"/>
    <x v="143"/>
    <x v="1"/>
    <n v="5"/>
    <x v="0"/>
    <s v="No"/>
    <s v="-"/>
    <s v="No"/>
    <n v="0"/>
    <n v="2"/>
    <x v="11"/>
  </r>
  <r>
    <n v="3376"/>
    <s v="Igor Martins"/>
    <x v="0"/>
    <x v="144"/>
    <x v="0"/>
    <n v="15"/>
    <x v="1"/>
    <s v="Yes"/>
    <n v="30"/>
    <s v="Yes"/>
    <n v="20"/>
    <n v="5"/>
    <x v="0"/>
  </r>
  <r>
    <n v="3377"/>
    <s v="Joana Figueiredo"/>
    <x v="2"/>
    <x v="145"/>
    <x v="1"/>
    <n v="10"/>
    <x v="0"/>
    <s v="No"/>
    <s v="-"/>
    <s v="Yes"/>
    <n v="20"/>
    <n v="10"/>
    <x v="2"/>
  </r>
  <r>
    <n v="3378"/>
    <s v="Kleber Machado"/>
    <x v="1"/>
    <x v="146"/>
    <x v="0"/>
    <n v="5"/>
    <x v="2"/>
    <s v="No"/>
    <s v="-"/>
    <s v="No"/>
    <n v="0"/>
    <n v="0"/>
    <x v="1"/>
  </r>
  <r>
    <n v="3379"/>
    <s v="Luciana Santos"/>
    <x v="0"/>
    <x v="147"/>
    <x v="1"/>
    <n v="15"/>
    <x v="0"/>
    <s v="Yes"/>
    <n v="30"/>
    <s v="Yes"/>
    <n v="20"/>
    <n v="3"/>
    <x v="3"/>
  </r>
  <r>
    <n v="3380"/>
    <s v="Marcos Teixeira"/>
    <x v="2"/>
    <x v="148"/>
    <x v="0"/>
    <n v="10"/>
    <x v="1"/>
    <s v="No"/>
    <s v="-"/>
    <s v="Yes"/>
    <n v="20"/>
    <n v="15"/>
    <x v="7"/>
  </r>
  <r>
    <n v="3381"/>
    <s v="Natalia Costa"/>
    <x v="1"/>
    <x v="149"/>
    <x v="1"/>
    <n v="5"/>
    <x v="0"/>
    <s v="No"/>
    <s v="-"/>
    <s v="No"/>
    <n v="0"/>
    <n v="1"/>
    <x v="4"/>
  </r>
  <r>
    <n v="3382"/>
    <s v="Oscar Ribeiro"/>
    <x v="0"/>
    <x v="150"/>
    <x v="0"/>
    <n v="15"/>
    <x v="2"/>
    <s v="Yes"/>
    <n v="30"/>
    <s v="Yes"/>
    <n v="20"/>
    <n v="7"/>
    <x v="12"/>
  </r>
  <r>
    <n v="3383"/>
    <s v="Patricia Almeida"/>
    <x v="2"/>
    <x v="151"/>
    <x v="1"/>
    <n v="10"/>
    <x v="0"/>
    <s v="No"/>
    <s v="-"/>
    <s v="Yes"/>
    <n v="20"/>
    <n v="10"/>
    <x v="2"/>
  </r>
  <r>
    <n v="3384"/>
    <s v="Quirino Junior"/>
    <x v="1"/>
    <x v="152"/>
    <x v="0"/>
    <n v="5"/>
    <x v="1"/>
    <s v="No"/>
    <s v="-"/>
    <s v="No"/>
    <n v="0"/>
    <n v="0"/>
    <x v="1"/>
  </r>
  <r>
    <n v="3385"/>
    <s v="Renata Machado"/>
    <x v="0"/>
    <x v="153"/>
    <x v="1"/>
    <n v="15"/>
    <x v="0"/>
    <s v="Yes"/>
    <n v="30"/>
    <s v="Yes"/>
    <n v="20"/>
    <n v="20"/>
    <x v="8"/>
  </r>
  <r>
    <n v="3386"/>
    <s v="Sônia Alves"/>
    <x v="2"/>
    <x v="154"/>
    <x v="0"/>
    <n v="10"/>
    <x v="2"/>
    <s v="No"/>
    <s v="-"/>
    <s v="Yes"/>
    <n v="20"/>
    <n v="15"/>
    <x v="7"/>
  </r>
  <r>
    <n v="3387"/>
    <s v="Tiago Nunes"/>
    <x v="1"/>
    <x v="155"/>
    <x v="1"/>
    <n v="5"/>
    <x v="0"/>
    <s v="No"/>
    <s v="-"/>
    <s v="No"/>
    <n v="0"/>
    <n v="1"/>
    <x v="4"/>
  </r>
  <r>
    <n v="3388"/>
    <s v="Ulysses Pereira"/>
    <x v="0"/>
    <x v="156"/>
    <x v="0"/>
    <n v="15"/>
    <x v="1"/>
    <s v="Yes"/>
    <n v="30"/>
    <s v="Yes"/>
    <n v="20"/>
    <n v="3"/>
    <x v="3"/>
  </r>
  <r>
    <n v="3389"/>
    <s v="Vanessa Lima"/>
    <x v="2"/>
    <x v="157"/>
    <x v="1"/>
    <n v="10"/>
    <x v="0"/>
    <s v="No"/>
    <s v="-"/>
    <s v="Yes"/>
    <n v="20"/>
    <n v="10"/>
    <x v="2"/>
  </r>
  <r>
    <n v="3390"/>
    <s v="Wagner Santos"/>
    <x v="1"/>
    <x v="158"/>
    <x v="0"/>
    <n v="5"/>
    <x v="2"/>
    <s v="No"/>
    <s v="-"/>
    <s v="No"/>
    <n v="0"/>
    <n v="0"/>
    <x v="1"/>
  </r>
  <r>
    <n v="3391"/>
    <s v="Xuxa Meneghel"/>
    <x v="0"/>
    <x v="159"/>
    <x v="1"/>
    <n v="15"/>
    <x v="0"/>
    <s v="Yes"/>
    <n v="30"/>
    <s v="Yes"/>
    <n v="20"/>
    <n v="15"/>
    <x v="14"/>
  </r>
  <r>
    <n v="3392"/>
    <s v="Yasmin Silva"/>
    <x v="2"/>
    <x v="160"/>
    <x v="0"/>
    <n v="10"/>
    <x v="1"/>
    <s v="No"/>
    <s v="-"/>
    <s v="Yes"/>
    <n v="20"/>
    <n v="15"/>
    <x v="7"/>
  </r>
  <r>
    <n v="3393"/>
    <s v="Zacarias de Souza"/>
    <x v="1"/>
    <x v="161"/>
    <x v="1"/>
    <n v="5"/>
    <x v="0"/>
    <s v="No"/>
    <s v="-"/>
    <s v="No"/>
    <n v="0"/>
    <n v="1"/>
    <x v="4"/>
  </r>
  <r>
    <n v="3394"/>
    <s v="André Lima"/>
    <x v="0"/>
    <x v="162"/>
    <x v="0"/>
    <n v="15"/>
    <x v="2"/>
    <s v="Yes"/>
    <n v="30"/>
    <s v="Yes"/>
    <n v="20"/>
    <n v="7"/>
    <x v="12"/>
  </r>
  <r>
    <n v="3395"/>
    <s v="Bianca Freitas"/>
    <x v="2"/>
    <x v="163"/>
    <x v="1"/>
    <n v="10"/>
    <x v="0"/>
    <s v="No"/>
    <s v="-"/>
    <s v="Yes"/>
    <n v="20"/>
    <n v="10"/>
    <x v="2"/>
  </r>
  <r>
    <n v="3396"/>
    <s v="Caio Mendes"/>
    <x v="1"/>
    <x v="164"/>
    <x v="0"/>
    <n v="5"/>
    <x v="1"/>
    <s v="No"/>
    <s v="-"/>
    <s v="No"/>
    <n v="0"/>
    <n v="0"/>
    <x v="1"/>
  </r>
  <r>
    <n v="3397"/>
    <s v="Daniela Moura"/>
    <x v="0"/>
    <x v="165"/>
    <x v="1"/>
    <n v="15"/>
    <x v="0"/>
    <s v="Yes"/>
    <n v="30"/>
    <s v="Yes"/>
    <n v="20"/>
    <n v="20"/>
    <x v="8"/>
  </r>
  <r>
    <n v="3398"/>
    <s v="Eduardo Costa"/>
    <x v="2"/>
    <x v="166"/>
    <x v="0"/>
    <n v="10"/>
    <x v="2"/>
    <s v="No"/>
    <s v="-"/>
    <s v="Yes"/>
    <n v="20"/>
    <n v="15"/>
    <x v="7"/>
  </r>
  <r>
    <n v="3399"/>
    <s v="Fernanda Gomes"/>
    <x v="1"/>
    <x v="167"/>
    <x v="1"/>
    <n v="5"/>
    <x v="0"/>
    <s v="No"/>
    <s v="-"/>
    <s v="No"/>
    <n v="0"/>
    <n v="1"/>
    <x v="4"/>
  </r>
  <r>
    <n v="3400"/>
    <s v="Guilherme Souza"/>
    <x v="0"/>
    <x v="168"/>
    <x v="0"/>
    <n v="15"/>
    <x v="1"/>
    <s v="Yes"/>
    <n v="30"/>
    <s v="Yes"/>
    <n v="20"/>
    <n v="5"/>
    <x v="0"/>
  </r>
  <r>
    <n v="3401"/>
    <s v="Helena Ribeiro"/>
    <x v="2"/>
    <x v="169"/>
    <x v="1"/>
    <n v="10"/>
    <x v="0"/>
    <s v="No"/>
    <s v="-"/>
    <s v="Yes"/>
    <n v="20"/>
    <n v="10"/>
    <x v="2"/>
  </r>
  <r>
    <n v="3402"/>
    <s v="Igor Santos"/>
    <x v="1"/>
    <x v="170"/>
    <x v="0"/>
    <n v="5"/>
    <x v="2"/>
    <s v="No"/>
    <s v="-"/>
    <s v="No"/>
    <n v="0"/>
    <n v="0"/>
    <x v="1"/>
  </r>
  <r>
    <n v="3403"/>
    <s v="João Carvalho"/>
    <x v="0"/>
    <x v="171"/>
    <x v="1"/>
    <n v="15"/>
    <x v="0"/>
    <s v="Yes"/>
    <n v="30"/>
    <s v="Yes"/>
    <n v="20"/>
    <n v="3"/>
    <x v="3"/>
  </r>
  <r>
    <n v="3404"/>
    <s v="Klara Fagundes"/>
    <x v="2"/>
    <x v="172"/>
    <x v="0"/>
    <n v="10"/>
    <x v="1"/>
    <s v="No"/>
    <s v="-"/>
    <s v="Yes"/>
    <n v="20"/>
    <n v="15"/>
    <x v="7"/>
  </r>
  <r>
    <n v="3405"/>
    <s v="Lúcia Mendonça"/>
    <x v="1"/>
    <x v="173"/>
    <x v="1"/>
    <n v="5"/>
    <x v="0"/>
    <s v="No"/>
    <s v="-"/>
    <s v="No"/>
    <n v="0"/>
    <n v="1"/>
    <x v="4"/>
  </r>
  <r>
    <n v="3406"/>
    <s v="Marcelo Novaes"/>
    <x v="1"/>
    <x v="174"/>
    <x v="0"/>
    <n v="5"/>
    <x v="0"/>
    <s v="No"/>
    <s v="-"/>
    <s v="No"/>
    <n v="0"/>
    <n v="0"/>
    <x v="1"/>
  </r>
  <r>
    <n v="3407"/>
    <s v="Nina Pacheco"/>
    <x v="0"/>
    <x v="175"/>
    <x v="1"/>
    <n v="15"/>
    <x v="2"/>
    <s v="Yes"/>
    <n v="30"/>
    <s v="Yes"/>
    <n v="20"/>
    <n v="7"/>
    <x v="12"/>
  </r>
  <r>
    <n v="3408"/>
    <s v="Olívia Rios"/>
    <x v="2"/>
    <x v="176"/>
    <x v="0"/>
    <n v="10"/>
    <x v="1"/>
    <s v="No"/>
    <s v="-"/>
    <s v="Yes"/>
    <n v="20"/>
    <n v="10"/>
    <x v="2"/>
  </r>
  <r>
    <n v="3409"/>
    <s v="Paulo Quintana"/>
    <x v="1"/>
    <x v="177"/>
    <x v="1"/>
    <n v="5"/>
    <x v="2"/>
    <s v="No"/>
    <s v="-"/>
    <s v="No"/>
    <n v="0"/>
    <n v="1"/>
    <x v="4"/>
  </r>
  <r>
    <n v="3410"/>
    <s v="Raquel Domingos"/>
    <x v="0"/>
    <x v="178"/>
    <x v="0"/>
    <n v="15"/>
    <x v="0"/>
    <s v="Yes"/>
    <n v="30"/>
    <s v="Yes"/>
    <n v="20"/>
    <n v="15"/>
    <x v="14"/>
  </r>
  <r>
    <n v="3411"/>
    <s v="Samuel Viana"/>
    <x v="2"/>
    <x v="179"/>
    <x v="1"/>
    <n v="10"/>
    <x v="0"/>
    <s v="No"/>
    <s v="-"/>
    <s v="Yes"/>
    <n v="20"/>
    <n v="5"/>
    <x v="13"/>
  </r>
  <r>
    <n v="3412"/>
    <s v="Tatiane Rocha"/>
    <x v="1"/>
    <x v="180"/>
    <x v="0"/>
    <n v="5"/>
    <x v="1"/>
    <s v="No"/>
    <s v="-"/>
    <s v="No"/>
    <n v="0"/>
    <n v="0"/>
    <x v="1"/>
  </r>
  <r>
    <n v="3413"/>
    <s v="Ulysses Farias"/>
    <x v="0"/>
    <x v="181"/>
    <x v="1"/>
    <n v="15"/>
    <x v="2"/>
    <s v="Yes"/>
    <n v="30"/>
    <s v="Yes"/>
    <n v="20"/>
    <n v="20"/>
    <x v="8"/>
  </r>
  <r>
    <n v="3414"/>
    <s v="Vanessa Moreira"/>
    <x v="2"/>
    <x v="182"/>
    <x v="0"/>
    <n v="10"/>
    <x v="2"/>
    <s v="No"/>
    <s v="-"/>
    <s v="Yes"/>
    <n v="20"/>
    <n v="12"/>
    <x v="10"/>
  </r>
  <r>
    <n v="3415"/>
    <s v="William Carvalho"/>
    <x v="1"/>
    <x v="183"/>
    <x v="1"/>
    <n v="5"/>
    <x v="0"/>
    <s v="No"/>
    <s v="-"/>
    <s v="No"/>
    <n v="0"/>
    <n v="2"/>
    <x v="11"/>
  </r>
  <r>
    <n v="3416"/>
    <s v="Ximena Barros"/>
    <x v="0"/>
    <x v="184"/>
    <x v="0"/>
    <n v="15"/>
    <x v="1"/>
    <s v="Yes"/>
    <n v="30"/>
    <s v="Yes"/>
    <n v="20"/>
    <n v="5"/>
    <x v="0"/>
  </r>
  <r>
    <n v="3417"/>
    <s v="Yara Machado"/>
    <x v="2"/>
    <x v="185"/>
    <x v="1"/>
    <n v="10"/>
    <x v="0"/>
    <s v="No"/>
    <s v="-"/>
    <s v="Yes"/>
    <n v="20"/>
    <n v="10"/>
    <x v="2"/>
  </r>
  <r>
    <n v="3418"/>
    <s v="Zacarias Costa"/>
    <x v="1"/>
    <x v="186"/>
    <x v="0"/>
    <n v="5"/>
    <x v="2"/>
    <s v="No"/>
    <s v="-"/>
    <s v="No"/>
    <n v="0"/>
    <n v="0"/>
    <x v="1"/>
  </r>
  <r>
    <n v="3419"/>
    <s v="André Lopes"/>
    <x v="0"/>
    <x v="187"/>
    <x v="1"/>
    <n v="15"/>
    <x v="0"/>
    <s v="Yes"/>
    <n v="30"/>
    <s v="Yes"/>
    <n v="20"/>
    <n v="3"/>
    <x v="3"/>
  </r>
  <r>
    <n v="3420"/>
    <s v="Beatriz Souza"/>
    <x v="2"/>
    <x v="188"/>
    <x v="0"/>
    <n v="10"/>
    <x v="1"/>
    <s v="No"/>
    <s v="-"/>
    <s v="Yes"/>
    <n v="20"/>
    <n v="15"/>
    <x v="7"/>
  </r>
  <r>
    <n v="3421"/>
    <s v="Caio Pereira"/>
    <x v="1"/>
    <x v="189"/>
    <x v="1"/>
    <n v="5"/>
    <x v="0"/>
    <s v="No"/>
    <s v="-"/>
    <s v="No"/>
    <n v="0"/>
    <n v="1"/>
    <x v="4"/>
  </r>
  <r>
    <n v="3422"/>
    <s v="Daniela Araújo"/>
    <x v="0"/>
    <x v="190"/>
    <x v="0"/>
    <n v="15"/>
    <x v="2"/>
    <s v="Yes"/>
    <n v="30"/>
    <s v="Yes"/>
    <n v="20"/>
    <n v="7"/>
    <x v="12"/>
  </r>
  <r>
    <n v="3423"/>
    <s v="Eduardo Santos"/>
    <x v="2"/>
    <x v="191"/>
    <x v="1"/>
    <n v="10"/>
    <x v="0"/>
    <s v="No"/>
    <s v="-"/>
    <s v="Yes"/>
    <n v="20"/>
    <n v="10"/>
    <x v="2"/>
  </r>
  <r>
    <n v="3424"/>
    <s v="Fernanda Lima"/>
    <x v="1"/>
    <x v="192"/>
    <x v="0"/>
    <n v="5"/>
    <x v="1"/>
    <s v="No"/>
    <s v="-"/>
    <s v="No"/>
    <n v="0"/>
    <n v="0"/>
    <x v="1"/>
  </r>
  <r>
    <n v="3425"/>
    <s v="Gabriel Teixeira"/>
    <x v="0"/>
    <x v="193"/>
    <x v="1"/>
    <n v="15"/>
    <x v="0"/>
    <s v="Yes"/>
    <n v="30"/>
    <s v="Yes"/>
    <n v="20"/>
    <n v="20"/>
    <x v="8"/>
  </r>
  <r>
    <n v="3426"/>
    <s v="Helena Ribeiro"/>
    <x v="2"/>
    <x v="194"/>
    <x v="0"/>
    <n v="10"/>
    <x v="2"/>
    <s v="No"/>
    <s v="-"/>
    <s v="Yes"/>
    <n v="20"/>
    <n v="15"/>
    <x v="7"/>
  </r>
  <r>
    <n v="3427"/>
    <s v="Igor Mendes"/>
    <x v="1"/>
    <x v="195"/>
    <x v="1"/>
    <n v="5"/>
    <x v="0"/>
    <s v="No"/>
    <s v="-"/>
    <s v="No"/>
    <n v="0"/>
    <n v="1"/>
    <x v="4"/>
  </r>
  <r>
    <n v="3428"/>
    <s v="Joana Silveira"/>
    <x v="0"/>
    <x v="196"/>
    <x v="0"/>
    <n v="15"/>
    <x v="1"/>
    <s v="Yes"/>
    <n v="30"/>
    <s v="Yes"/>
    <n v="20"/>
    <n v="3"/>
    <x v="3"/>
  </r>
  <r>
    <n v="3429"/>
    <s v="Lucas Martins"/>
    <x v="2"/>
    <x v="197"/>
    <x v="1"/>
    <n v="10"/>
    <x v="0"/>
    <s v="No"/>
    <s v="-"/>
    <s v="Yes"/>
    <n v="20"/>
    <n v="10"/>
    <x v="2"/>
  </r>
  <r>
    <n v="3430"/>
    <s v="Marcela Gouveia"/>
    <x v="1"/>
    <x v="198"/>
    <x v="0"/>
    <n v="5"/>
    <x v="2"/>
    <s v="No"/>
    <s v="-"/>
    <s v="No"/>
    <n v="0"/>
    <n v="0"/>
    <x v="1"/>
  </r>
  <r>
    <n v="3431"/>
    <s v="Nicolas Borges"/>
    <x v="0"/>
    <x v="199"/>
    <x v="1"/>
    <n v="15"/>
    <x v="0"/>
    <s v="Yes"/>
    <n v="30"/>
    <s v="Yes"/>
    <n v="20"/>
    <n v="15"/>
    <x v="14"/>
  </r>
  <r>
    <n v="3432"/>
    <s v="Olivia Freitas"/>
    <x v="2"/>
    <x v="200"/>
    <x v="0"/>
    <n v="10"/>
    <x v="1"/>
    <s v="No"/>
    <s v="-"/>
    <s v="Yes"/>
    <n v="20"/>
    <n v="15"/>
    <x v="7"/>
  </r>
  <r>
    <n v="3433"/>
    <s v="Paulo Nogueira"/>
    <x v="1"/>
    <x v="201"/>
    <x v="1"/>
    <n v="5"/>
    <x v="0"/>
    <s v="No"/>
    <s v="-"/>
    <s v="No"/>
    <n v="0"/>
    <n v="1"/>
    <x v="4"/>
  </r>
  <r>
    <n v="3434"/>
    <s v="Raquel Andrade"/>
    <x v="0"/>
    <x v="202"/>
    <x v="0"/>
    <n v="15"/>
    <x v="2"/>
    <s v="Yes"/>
    <n v="30"/>
    <s v="Yes"/>
    <n v="20"/>
    <n v="7"/>
    <x v="12"/>
  </r>
  <r>
    <n v="3435"/>
    <s v="Sônia Carvalho"/>
    <x v="2"/>
    <x v="203"/>
    <x v="1"/>
    <n v="10"/>
    <x v="0"/>
    <s v="No"/>
    <s v="-"/>
    <s v="Yes"/>
    <n v="20"/>
    <n v="10"/>
    <x v="2"/>
  </r>
  <r>
    <n v="3436"/>
    <s v="Tiago Rodrigues"/>
    <x v="1"/>
    <x v="204"/>
    <x v="0"/>
    <n v="5"/>
    <x v="0"/>
    <s v="No"/>
    <s v="-"/>
    <s v="No"/>
    <n v="0"/>
    <n v="0"/>
    <x v="1"/>
  </r>
  <r>
    <n v="3437"/>
    <s v="Ursula Monteiro"/>
    <x v="0"/>
    <x v="205"/>
    <x v="1"/>
    <n v="15"/>
    <x v="2"/>
    <s v="Yes"/>
    <n v="30"/>
    <s v="Yes"/>
    <n v="20"/>
    <n v="7"/>
    <x v="12"/>
  </r>
  <r>
    <n v="3438"/>
    <s v="Vanessa Pereira"/>
    <x v="2"/>
    <x v="206"/>
    <x v="0"/>
    <n v="10"/>
    <x v="1"/>
    <s v="No"/>
    <s v="-"/>
    <s v="Yes"/>
    <n v="20"/>
    <n v="10"/>
    <x v="2"/>
  </r>
  <r>
    <n v="3439"/>
    <s v="Walter Silva"/>
    <x v="1"/>
    <x v="207"/>
    <x v="1"/>
    <n v="5"/>
    <x v="2"/>
    <s v="No"/>
    <s v="-"/>
    <s v="No"/>
    <n v="0"/>
    <n v="1"/>
    <x v="4"/>
  </r>
  <r>
    <n v="3440"/>
    <s v="Xavier Almeida"/>
    <x v="0"/>
    <x v="208"/>
    <x v="0"/>
    <n v="15"/>
    <x v="0"/>
    <s v="Yes"/>
    <n v="30"/>
    <s v="Yes"/>
    <n v="20"/>
    <n v="15"/>
    <x v="14"/>
  </r>
  <r>
    <n v="3441"/>
    <s v="Yasmine Correia"/>
    <x v="2"/>
    <x v="209"/>
    <x v="1"/>
    <n v="10"/>
    <x v="0"/>
    <s v="No"/>
    <s v="-"/>
    <s v="Yes"/>
    <n v="20"/>
    <n v="5"/>
    <x v="13"/>
  </r>
  <r>
    <n v="3442"/>
    <s v="Zacarias Almeida"/>
    <x v="1"/>
    <x v="210"/>
    <x v="0"/>
    <n v="5"/>
    <x v="1"/>
    <s v="No"/>
    <s v="-"/>
    <s v="No"/>
    <n v="0"/>
    <n v="0"/>
    <x v="1"/>
  </r>
  <r>
    <n v="3443"/>
    <s v="Amanda Costa"/>
    <x v="0"/>
    <x v="211"/>
    <x v="1"/>
    <n v="15"/>
    <x v="2"/>
    <s v="Yes"/>
    <n v="30"/>
    <s v="Yes"/>
    <n v="20"/>
    <n v="20"/>
    <x v="8"/>
  </r>
  <r>
    <n v="3444"/>
    <s v="Bruno Ferreira"/>
    <x v="2"/>
    <x v="212"/>
    <x v="0"/>
    <n v="10"/>
    <x v="2"/>
    <s v="No"/>
    <s v="-"/>
    <s v="Yes"/>
    <n v="20"/>
    <n v="12"/>
    <x v="10"/>
  </r>
  <r>
    <n v="3445"/>
    <s v="Carla Dias"/>
    <x v="1"/>
    <x v="213"/>
    <x v="1"/>
    <n v="5"/>
    <x v="0"/>
    <s v="No"/>
    <s v="-"/>
    <s v="No"/>
    <n v="0"/>
    <n v="2"/>
    <x v="11"/>
  </r>
  <r>
    <n v="3446"/>
    <s v="Diogo Martins"/>
    <x v="0"/>
    <x v="214"/>
    <x v="0"/>
    <n v="15"/>
    <x v="1"/>
    <s v="Yes"/>
    <n v="30"/>
    <s v="Yes"/>
    <n v="20"/>
    <n v="5"/>
    <x v="0"/>
  </r>
  <r>
    <n v="3447"/>
    <s v="Elisa Campos"/>
    <x v="2"/>
    <x v="215"/>
    <x v="1"/>
    <n v="10"/>
    <x v="0"/>
    <s v="No"/>
    <s v="-"/>
    <s v="Yes"/>
    <n v="20"/>
    <n v="10"/>
    <x v="2"/>
  </r>
  <r>
    <n v="3448"/>
    <s v="Fabiana Lima"/>
    <x v="1"/>
    <x v="216"/>
    <x v="0"/>
    <n v="5"/>
    <x v="2"/>
    <s v="No"/>
    <s v="-"/>
    <s v="No"/>
    <n v="0"/>
    <n v="0"/>
    <x v="1"/>
  </r>
  <r>
    <n v="3449"/>
    <s v="Gabriel Santos"/>
    <x v="0"/>
    <x v="217"/>
    <x v="1"/>
    <n v="15"/>
    <x v="0"/>
    <s v="Yes"/>
    <n v="30"/>
    <s v="Yes"/>
    <n v="20"/>
    <n v="3"/>
    <x v="3"/>
  </r>
  <r>
    <n v="3450"/>
    <s v="Helena Ferreira"/>
    <x v="2"/>
    <x v="218"/>
    <x v="0"/>
    <n v="10"/>
    <x v="1"/>
    <s v="No"/>
    <s v="-"/>
    <s v="Yes"/>
    <n v="20"/>
    <n v="15"/>
    <x v="7"/>
  </r>
  <r>
    <n v="3451"/>
    <s v="Ígor Nunes"/>
    <x v="1"/>
    <x v="219"/>
    <x v="1"/>
    <n v="5"/>
    <x v="0"/>
    <s v="No"/>
    <s v="-"/>
    <s v="No"/>
    <n v="0"/>
    <n v="1"/>
    <x v="4"/>
  </r>
  <r>
    <n v="3452"/>
    <s v="Joana Silveira"/>
    <x v="0"/>
    <x v="220"/>
    <x v="0"/>
    <n v="15"/>
    <x v="2"/>
    <s v="Yes"/>
    <n v="30"/>
    <s v="Yes"/>
    <n v="20"/>
    <n v="7"/>
    <x v="12"/>
  </r>
  <r>
    <n v="3453"/>
    <s v="Kléber Oliveira"/>
    <x v="2"/>
    <x v="221"/>
    <x v="1"/>
    <n v="10"/>
    <x v="0"/>
    <s v="No"/>
    <s v="-"/>
    <s v="Yes"/>
    <n v="20"/>
    <n v="10"/>
    <x v="2"/>
  </r>
  <r>
    <n v="3454"/>
    <s v="Luciana Morais"/>
    <x v="1"/>
    <x v="222"/>
    <x v="0"/>
    <n v="5"/>
    <x v="1"/>
    <s v="No"/>
    <s v="-"/>
    <s v="No"/>
    <n v="0"/>
    <n v="0"/>
    <x v="1"/>
  </r>
  <r>
    <n v="3455"/>
    <s v="Marcos Vinícius"/>
    <x v="0"/>
    <x v="223"/>
    <x v="1"/>
    <n v="15"/>
    <x v="0"/>
    <s v="Yes"/>
    <n v="30"/>
    <s v="Yes"/>
    <n v="20"/>
    <n v="20"/>
    <x v="8"/>
  </r>
  <r>
    <n v="3456"/>
    <s v="Natália Barros"/>
    <x v="2"/>
    <x v="224"/>
    <x v="0"/>
    <n v="10"/>
    <x v="2"/>
    <s v="No"/>
    <s v="-"/>
    <s v="Yes"/>
    <n v="20"/>
    <n v="15"/>
    <x v="7"/>
  </r>
  <r>
    <n v="3457"/>
    <s v="Oscar Sampaio"/>
    <x v="1"/>
    <x v="225"/>
    <x v="1"/>
    <n v="5"/>
    <x v="0"/>
    <s v="No"/>
    <s v="-"/>
    <s v="No"/>
    <n v="0"/>
    <n v="1"/>
    <x v="4"/>
  </r>
  <r>
    <n v="3458"/>
    <s v="Patrícia Leite"/>
    <x v="0"/>
    <x v="226"/>
    <x v="0"/>
    <n v="15"/>
    <x v="1"/>
    <s v="Yes"/>
    <n v="30"/>
    <s v="Yes"/>
    <n v="20"/>
    <n v="3"/>
    <x v="3"/>
  </r>
  <r>
    <n v="3459"/>
    <s v="Quênia Rocha"/>
    <x v="2"/>
    <x v="227"/>
    <x v="1"/>
    <n v="10"/>
    <x v="0"/>
    <s v="No"/>
    <s v="-"/>
    <s v="Yes"/>
    <n v="20"/>
    <n v="10"/>
    <x v="2"/>
  </r>
  <r>
    <n v="3460"/>
    <s v="Rafael Torres"/>
    <x v="1"/>
    <x v="228"/>
    <x v="0"/>
    <n v="5"/>
    <x v="2"/>
    <s v="No"/>
    <s v="-"/>
    <s v="No"/>
    <n v="0"/>
    <n v="0"/>
    <x v="1"/>
  </r>
  <r>
    <n v="3461"/>
    <s v="Sandra Gouveia"/>
    <x v="0"/>
    <x v="229"/>
    <x v="1"/>
    <n v="15"/>
    <x v="0"/>
    <s v="Yes"/>
    <n v="30"/>
    <s v="Yes"/>
    <n v="20"/>
    <n v="15"/>
    <x v="14"/>
  </r>
  <r>
    <n v="3462"/>
    <s v="Tiago Lacerda"/>
    <x v="2"/>
    <x v="230"/>
    <x v="0"/>
    <n v="10"/>
    <x v="1"/>
    <s v="No"/>
    <s v="-"/>
    <s v="Yes"/>
    <n v="20"/>
    <n v="15"/>
    <x v="7"/>
  </r>
  <r>
    <n v="3463"/>
    <s v="Ursula Fonseca"/>
    <x v="1"/>
    <x v="231"/>
    <x v="1"/>
    <n v="5"/>
    <x v="0"/>
    <s v="No"/>
    <s v="-"/>
    <s v="No"/>
    <n v="0"/>
    <n v="1"/>
    <x v="4"/>
  </r>
  <r>
    <n v="3464"/>
    <s v="Vanessa Andrade"/>
    <x v="0"/>
    <x v="232"/>
    <x v="0"/>
    <n v="15"/>
    <x v="2"/>
    <s v="Yes"/>
    <n v="30"/>
    <s v="Yes"/>
    <n v="20"/>
    <n v="7"/>
    <x v="12"/>
  </r>
  <r>
    <n v="3465"/>
    <s v="William Castro"/>
    <x v="2"/>
    <x v="233"/>
    <x v="1"/>
    <n v="10"/>
    <x v="0"/>
    <s v="No"/>
    <s v="-"/>
    <s v="Yes"/>
    <n v="20"/>
    <n v="10"/>
    <x v="2"/>
  </r>
  <r>
    <n v="3466"/>
    <s v="Xavier Monteiro"/>
    <x v="1"/>
    <x v="234"/>
    <x v="0"/>
    <n v="5"/>
    <x v="1"/>
    <s v="No"/>
    <s v="-"/>
    <s v="No"/>
    <n v="0"/>
    <n v="0"/>
    <x v="1"/>
  </r>
  <r>
    <n v="3467"/>
    <s v="Yasmin Figueira"/>
    <x v="0"/>
    <x v="235"/>
    <x v="1"/>
    <n v="15"/>
    <x v="0"/>
    <s v="Yes"/>
    <n v="30"/>
    <s v="Yes"/>
    <n v="20"/>
    <n v="15"/>
    <x v="14"/>
  </r>
  <r>
    <n v="3468"/>
    <s v="Zacarias Mendonça"/>
    <x v="2"/>
    <x v="236"/>
    <x v="0"/>
    <n v="10"/>
    <x v="2"/>
    <s v="No"/>
    <s v="-"/>
    <s v="Yes"/>
    <n v="20"/>
    <n v="12"/>
    <x v="10"/>
  </r>
  <r>
    <n v="3469"/>
    <s v="Amanda Menezes"/>
    <x v="1"/>
    <x v="237"/>
    <x v="1"/>
    <n v="5"/>
    <x v="0"/>
    <s v="No"/>
    <s v="-"/>
    <s v="No"/>
    <n v="0"/>
    <n v="2"/>
    <x v="11"/>
  </r>
  <r>
    <n v="3470"/>
    <s v="Bruno Santos"/>
    <x v="0"/>
    <x v="238"/>
    <x v="0"/>
    <n v="15"/>
    <x v="1"/>
    <s v="Yes"/>
    <n v="30"/>
    <s v="Yes"/>
    <n v="20"/>
    <n v="5"/>
    <x v="0"/>
  </r>
  <r>
    <n v="3471"/>
    <s v="Carla Ferreira"/>
    <x v="2"/>
    <x v="239"/>
    <x v="1"/>
    <n v="10"/>
    <x v="0"/>
    <s v="No"/>
    <s v="-"/>
    <s v="Yes"/>
    <n v="20"/>
    <n v="10"/>
    <x v="2"/>
  </r>
  <r>
    <n v="3472"/>
    <s v="Diogo Alves"/>
    <x v="1"/>
    <x v="240"/>
    <x v="0"/>
    <n v="5"/>
    <x v="2"/>
    <s v="No"/>
    <s v="-"/>
    <s v="No"/>
    <n v="0"/>
    <n v="0"/>
    <x v="1"/>
  </r>
  <r>
    <n v="3473"/>
    <s v="Elisa Neves"/>
    <x v="0"/>
    <x v="241"/>
    <x v="1"/>
    <n v="15"/>
    <x v="0"/>
    <s v="Yes"/>
    <n v="30"/>
    <s v="Yes"/>
    <n v="20"/>
    <n v="3"/>
    <x v="3"/>
  </r>
  <r>
    <n v="3474"/>
    <s v="Fabiano Pires"/>
    <x v="2"/>
    <x v="242"/>
    <x v="0"/>
    <n v="10"/>
    <x v="1"/>
    <s v="No"/>
    <s v="-"/>
    <s v="Yes"/>
    <n v="20"/>
    <n v="15"/>
    <x v="7"/>
  </r>
  <r>
    <n v="3475"/>
    <s v="Giovana Ribeiro"/>
    <x v="1"/>
    <x v="243"/>
    <x v="1"/>
    <n v="5"/>
    <x v="0"/>
    <s v="No"/>
    <s v="-"/>
    <s v="No"/>
    <n v="0"/>
    <n v="1"/>
    <x v="4"/>
  </r>
  <r>
    <n v="3476"/>
    <s v="Hélio Costa"/>
    <x v="0"/>
    <x v="244"/>
    <x v="0"/>
    <n v="15"/>
    <x v="2"/>
    <s v="Yes"/>
    <n v="30"/>
    <s v="Yes"/>
    <n v="20"/>
    <n v="7"/>
    <x v="12"/>
  </r>
  <r>
    <n v="3477"/>
    <s v="Íris Loureiro"/>
    <x v="2"/>
    <x v="245"/>
    <x v="1"/>
    <n v="10"/>
    <x v="0"/>
    <s v="No"/>
    <s v="-"/>
    <s v="Yes"/>
    <n v="20"/>
    <n v="10"/>
    <x v="2"/>
  </r>
  <r>
    <n v="3478"/>
    <s v="João Pereira"/>
    <x v="1"/>
    <x v="246"/>
    <x v="0"/>
    <n v="5"/>
    <x v="1"/>
    <s v="No"/>
    <s v="-"/>
    <s v="No"/>
    <n v="0"/>
    <n v="0"/>
    <x v="1"/>
  </r>
  <r>
    <n v="3479"/>
    <s v="Klara Silva"/>
    <x v="0"/>
    <x v="247"/>
    <x v="1"/>
    <n v="15"/>
    <x v="0"/>
    <s v="Yes"/>
    <n v="30"/>
    <s v="Yes"/>
    <n v="20"/>
    <n v="20"/>
    <x v="8"/>
  </r>
  <r>
    <n v="3480"/>
    <s v="Luciana Barros"/>
    <x v="2"/>
    <x v="248"/>
    <x v="0"/>
    <n v="10"/>
    <x v="2"/>
    <s v="No"/>
    <s v="-"/>
    <s v="Yes"/>
    <n v="20"/>
    <n v="15"/>
    <x v="7"/>
  </r>
  <r>
    <n v="3481"/>
    <s v="Marcos Gomes"/>
    <x v="1"/>
    <x v="249"/>
    <x v="1"/>
    <n v="5"/>
    <x v="0"/>
    <s v="No"/>
    <s v="-"/>
    <s v="No"/>
    <n v="0"/>
    <n v="1"/>
    <x v="4"/>
  </r>
  <r>
    <n v="3482"/>
    <s v="Natália Soares"/>
    <x v="0"/>
    <x v="250"/>
    <x v="0"/>
    <n v="15"/>
    <x v="1"/>
    <s v="Yes"/>
    <n v="30"/>
    <s v="Yes"/>
    <n v="20"/>
    <n v="3"/>
    <x v="3"/>
  </r>
  <r>
    <n v="3483"/>
    <s v="Oscar Machado"/>
    <x v="2"/>
    <x v="251"/>
    <x v="1"/>
    <n v="10"/>
    <x v="0"/>
    <s v="No"/>
    <s v="-"/>
    <s v="Yes"/>
    <n v="20"/>
    <n v="10"/>
    <x v="2"/>
  </r>
  <r>
    <n v="3484"/>
    <s v="Patrícia Lima"/>
    <x v="1"/>
    <x v="252"/>
    <x v="0"/>
    <n v="5"/>
    <x v="2"/>
    <s v="No"/>
    <s v="-"/>
    <s v="No"/>
    <n v="0"/>
    <n v="0"/>
    <x v="1"/>
  </r>
  <r>
    <n v="3485"/>
    <s v="Quirino Neto"/>
    <x v="0"/>
    <x v="253"/>
    <x v="1"/>
    <n v="15"/>
    <x v="0"/>
    <s v="Yes"/>
    <n v="30"/>
    <s v="Yes"/>
    <n v="20"/>
    <n v="15"/>
    <x v="14"/>
  </r>
  <r>
    <n v="3486"/>
    <s v="Rafaela Souza"/>
    <x v="1"/>
    <x v="254"/>
    <x v="0"/>
    <n v="5"/>
    <x v="0"/>
    <s v="No"/>
    <s v="-"/>
    <s v="No"/>
    <n v="0"/>
    <n v="0"/>
    <x v="1"/>
  </r>
  <r>
    <n v="3487"/>
    <s v="Sandro Almeida"/>
    <x v="0"/>
    <x v="255"/>
    <x v="1"/>
    <n v="15"/>
    <x v="2"/>
    <s v="Yes"/>
    <n v="30"/>
    <s v="Yes"/>
    <n v="20"/>
    <n v="7"/>
    <x v="12"/>
  </r>
  <r>
    <n v="3488"/>
    <s v="Tânia Ribeiro"/>
    <x v="2"/>
    <x v="256"/>
    <x v="0"/>
    <n v="10"/>
    <x v="1"/>
    <s v="No"/>
    <s v="-"/>
    <s v="Yes"/>
    <n v="20"/>
    <n v="10"/>
    <x v="2"/>
  </r>
  <r>
    <n v="3489"/>
    <s v="Ugo Dias"/>
    <x v="1"/>
    <x v="257"/>
    <x v="1"/>
    <n v="5"/>
    <x v="2"/>
    <s v="No"/>
    <s v="-"/>
    <s v="No"/>
    <n v="0"/>
    <n v="1"/>
    <x v="4"/>
  </r>
  <r>
    <n v="3490"/>
    <s v="Valéria Lima"/>
    <x v="0"/>
    <x v="258"/>
    <x v="0"/>
    <n v="15"/>
    <x v="0"/>
    <s v="Yes"/>
    <n v="30"/>
    <s v="Yes"/>
    <n v="20"/>
    <n v="15"/>
    <x v="14"/>
  </r>
  <r>
    <n v="3491"/>
    <s v="William Fernandes"/>
    <x v="2"/>
    <x v="259"/>
    <x v="1"/>
    <n v="10"/>
    <x v="0"/>
    <s v="No"/>
    <s v="-"/>
    <s v="Yes"/>
    <n v="20"/>
    <n v="5"/>
    <x v="13"/>
  </r>
  <r>
    <n v="3492"/>
    <s v="Xuxa Mendes"/>
    <x v="1"/>
    <x v="260"/>
    <x v="0"/>
    <n v="5"/>
    <x v="1"/>
    <s v="No"/>
    <s v="-"/>
    <s v="No"/>
    <n v="0"/>
    <n v="0"/>
    <x v="1"/>
  </r>
  <r>
    <n v="3493"/>
    <s v="Ygor Farias"/>
    <x v="0"/>
    <x v="261"/>
    <x v="1"/>
    <n v="15"/>
    <x v="2"/>
    <s v="Yes"/>
    <n v="30"/>
    <s v="Yes"/>
    <n v="20"/>
    <n v="20"/>
    <x v="8"/>
  </r>
  <r>
    <n v="3494"/>
    <s v="Zilda Barros"/>
    <x v="2"/>
    <x v="262"/>
    <x v="0"/>
    <n v="10"/>
    <x v="2"/>
    <s v="No"/>
    <s v="-"/>
    <s v="Yes"/>
    <n v="20"/>
    <n v="12"/>
    <x v="10"/>
  </r>
  <r>
    <n v="3495"/>
    <s v="Amanda Santos"/>
    <x v="1"/>
    <x v="263"/>
    <x v="1"/>
    <n v="5"/>
    <x v="0"/>
    <s v="No"/>
    <s v="-"/>
    <s v="No"/>
    <n v="0"/>
    <n v="2"/>
    <x v="11"/>
  </r>
  <r>
    <n v="3496"/>
    <s v="Bruno Costa"/>
    <x v="0"/>
    <x v="264"/>
    <x v="0"/>
    <n v="15"/>
    <x v="1"/>
    <s v="Yes"/>
    <n v="30"/>
    <s v="Yes"/>
    <n v="20"/>
    <n v="5"/>
    <x v="0"/>
  </r>
  <r>
    <n v="3497"/>
    <s v="Carla Rodrigues"/>
    <x v="2"/>
    <x v="265"/>
    <x v="1"/>
    <n v="10"/>
    <x v="0"/>
    <s v="No"/>
    <s v="-"/>
    <s v="Yes"/>
    <n v="20"/>
    <n v="10"/>
    <x v="2"/>
  </r>
  <r>
    <n v="3498"/>
    <s v="Diogo Pereira"/>
    <x v="1"/>
    <x v="266"/>
    <x v="0"/>
    <n v="5"/>
    <x v="2"/>
    <s v="No"/>
    <s v="-"/>
    <s v="No"/>
    <n v="0"/>
    <n v="0"/>
    <x v="1"/>
  </r>
  <r>
    <n v="3499"/>
    <s v="Elisa Correia"/>
    <x v="0"/>
    <x v="267"/>
    <x v="1"/>
    <n v="15"/>
    <x v="0"/>
    <s v="Yes"/>
    <n v="30"/>
    <s v="Yes"/>
    <n v="20"/>
    <n v="3"/>
    <x v="3"/>
  </r>
  <r>
    <n v="3500"/>
    <s v="Fábio Lourenço"/>
    <x v="2"/>
    <x v="268"/>
    <x v="0"/>
    <n v="10"/>
    <x v="1"/>
    <s v="No"/>
    <s v="-"/>
    <s v="Yes"/>
    <n v="20"/>
    <n v="15"/>
    <x v="7"/>
  </r>
  <r>
    <n v="3501"/>
    <s v="Gabriela Neves"/>
    <x v="1"/>
    <x v="269"/>
    <x v="1"/>
    <n v="5"/>
    <x v="0"/>
    <s v="No"/>
    <s v="-"/>
    <s v="No"/>
    <n v="0"/>
    <n v="1"/>
    <x v="4"/>
  </r>
  <r>
    <n v="3502"/>
    <s v="Henrique Gonçalves"/>
    <x v="0"/>
    <x v="270"/>
    <x v="0"/>
    <n v="15"/>
    <x v="2"/>
    <s v="Yes"/>
    <n v="30"/>
    <s v="Yes"/>
    <n v="20"/>
    <n v="7"/>
    <x v="12"/>
  </r>
  <r>
    <n v="3503"/>
    <s v="Íris Santos"/>
    <x v="2"/>
    <x v="271"/>
    <x v="1"/>
    <n v="10"/>
    <x v="0"/>
    <s v="No"/>
    <s v="-"/>
    <s v="Yes"/>
    <n v="20"/>
    <n v="10"/>
    <x v="2"/>
  </r>
  <r>
    <n v="3504"/>
    <s v="João Marcelo Alves"/>
    <x v="1"/>
    <x v="272"/>
    <x v="0"/>
    <n v="5"/>
    <x v="1"/>
    <s v="No"/>
    <s v="-"/>
    <s v="No"/>
    <n v="0"/>
    <n v="0"/>
    <x v="1"/>
  </r>
  <r>
    <n v="3505"/>
    <s v="Klara Fonseca"/>
    <x v="0"/>
    <x v="273"/>
    <x v="1"/>
    <n v="15"/>
    <x v="0"/>
    <s v="Yes"/>
    <n v="30"/>
    <s v="Yes"/>
    <n v="20"/>
    <n v="20"/>
    <x v="8"/>
  </r>
  <r>
    <n v="3506"/>
    <s v="Lucas Mendonça"/>
    <x v="2"/>
    <x v="274"/>
    <x v="0"/>
    <n v="10"/>
    <x v="2"/>
    <s v="No"/>
    <s v="-"/>
    <s v="Yes"/>
    <n v="20"/>
    <n v="15"/>
    <x v="7"/>
  </r>
  <r>
    <n v="3507"/>
    <s v="Marcela Torres"/>
    <x v="1"/>
    <x v="275"/>
    <x v="1"/>
    <n v="5"/>
    <x v="0"/>
    <s v="No"/>
    <s v="-"/>
    <s v="No"/>
    <n v="0"/>
    <n v="1"/>
    <x v="4"/>
  </r>
  <r>
    <n v="3508"/>
    <s v="Natália Castro"/>
    <x v="0"/>
    <x v="276"/>
    <x v="0"/>
    <n v="15"/>
    <x v="1"/>
    <s v="Yes"/>
    <n v="30"/>
    <s v="Yes"/>
    <n v="20"/>
    <n v="3"/>
    <x v="3"/>
  </r>
  <r>
    <n v="3509"/>
    <s v="Oscar Martins"/>
    <x v="2"/>
    <x v="277"/>
    <x v="1"/>
    <n v="10"/>
    <x v="0"/>
    <s v="No"/>
    <s v="-"/>
    <s v="Yes"/>
    <n v="20"/>
    <n v="10"/>
    <x v="2"/>
  </r>
  <r>
    <n v="3510"/>
    <s v="Patrícia Oliveira"/>
    <x v="1"/>
    <x v="278"/>
    <x v="0"/>
    <n v="5"/>
    <x v="2"/>
    <s v="No"/>
    <s v="-"/>
    <s v="No"/>
    <n v="0"/>
    <n v="0"/>
    <x v="1"/>
  </r>
  <r>
    <n v="3511"/>
    <s v="Quentin Nogueira"/>
    <x v="0"/>
    <x v="279"/>
    <x v="1"/>
    <n v="15"/>
    <x v="0"/>
    <s v="Yes"/>
    <n v="30"/>
    <s v="Yes"/>
    <n v="20"/>
    <n v="15"/>
    <x v="14"/>
  </r>
  <r>
    <n v="3512"/>
    <s v="Raquel Silva"/>
    <x v="2"/>
    <x v="280"/>
    <x v="0"/>
    <n v="10"/>
    <x v="1"/>
    <s v="No"/>
    <s v="-"/>
    <s v="Yes"/>
    <n v="20"/>
    <n v="15"/>
    <x v="7"/>
  </r>
  <r>
    <n v="3513"/>
    <s v="Sandro Gomes"/>
    <x v="1"/>
    <x v="281"/>
    <x v="1"/>
    <n v="5"/>
    <x v="0"/>
    <s v="No"/>
    <s v="-"/>
    <s v="No"/>
    <n v="0"/>
    <n v="1"/>
    <x v="4"/>
  </r>
  <r>
    <n v="3514"/>
    <s v="Tânia Machado"/>
    <x v="0"/>
    <x v="282"/>
    <x v="0"/>
    <n v="15"/>
    <x v="2"/>
    <s v="Yes"/>
    <n v="30"/>
    <s v="Yes"/>
    <n v="20"/>
    <n v="7"/>
    <x v="12"/>
  </r>
  <r>
    <n v="3515"/>
    <s v="Ursula Silva"/>
    <x v="2"/>
    <x v="283"/>
    <x v="1"/>
    <n v="10"/>
    <x v="0"/>
    <s v="No"/>
    <s v="-"/>
    <s v="Yes"/>
    <n v="20"/>
    <n v="10"/>
    <x v="2"/>
  </r>
  <r>
    <n v="3516"/>
    <s v="Vanessa Moraes"/>
    <x v="1"/>
    <x v="284"/>
    <x v="0"/>
    <n v="5"/>
    <x v="1"/>
    <s v="No"/>
    <s v="-"/>
    <s v="No"/>
    <n v="0"/>
    <n v="0"/>
    <x v="1"/>
  </r>
  <r>
    <n v="3517"/>
    <s v="William Carvalho"/>
    <x v="0"/>
    <x v="285"/>
    <x v="1"/>
    <n v="15"/>
    <x v="0"/>
    <s v="Yes"/>
    <n v="30"/>
    <s v="Yes"/>
    <n v="20"/>
    <n v="20"/>
    <x v="8"/>
  </r>
  <r>
    <n v="3518"/>
    <s v="Xavier Reis"/>
    <x v="2"/>
    <x v="286"/>
    <x v="0"/>
    <n v="10"/>
    <x v="2"/>
    <s v="No"/>
    <s v="-"/>
    <s v="Yes"/>
    <n v="20"/>
    <n v="12"/>
    <x v="10"/>
  </r>
  <r>
    <n v="3519"/>
    <s v="Yasmin Rocha"/>
    <x v="1"/>
    <x v="287"/>
    <x v="1"/>
    <n v="5"/>
    <x v="0"/>
    <s v="No"/>
    <s v="-"/>
    <s v="No"/>
    <n v="0"/>
    <n v="2"/>
    <x v="11"/>
  </r>
  <r>
    <n v="3520"/>
    <s v="Zacarias Duarte"/>
    <x v="0"/>
    <x v="288"/>
    <x v="0"/>
    <n v="15"/>
    <x v="1"/>
    <s v="Yes"/>
    <n v="30"/>
    <s v="Yes"/>
    <n v="20"/>
    <n v="5"/>
    <x v="0"/>
  </r>
  <r>
    <n v="3521"/>
    <s v="Amanda Freitas"/>
    <x v="2"/>
    <x v="289"/>
    <x v="1"/>
    <n v="10"/>
    <x v="0"/>
    <s v="No"/>
    <s v="-"/>
    <s v="Yes"/>
    <n v="20"/>
    <n v="10"/>
    <x v="2"/>
  </r>
  <r>
    <n v="3522"/>
    <s v="Bruno Almeida"/>
    <x v="1"/>
    <x v="290"/>
    <x v="0"/>
    <n v="5"/>
    <x v="2"/>
    <s v="No"/>
    <s v="-"/>
    <s v="No"/>
    <n v="0"/>
    <n v="0"/>
    <x v="1"/>
  </r>
  <r>
    <n v="3523"/>
    <s v="Carla Siqueira"/>
    <x v="0"/>
    <x v="291"/>
    <x v="1"/>
    <n v="15"/>
    <x v="0"/>
    <s v="Yes"/>
    <n v="30"/>
    <s v="Yes"/>
    <n v="20"/>
    <n v="3"/>
    <x v="3"/>
  </r>
  <r>
    <n v="3524"/>
    <s v="Diogo Ramos"/>
    <x v="2"/>
    <x v="292"/>
    <x v="0"/>
    <n v="10"/>
    <x v="1"/>
    <s v="No"/>
    <s v="-"/>
    <s v="Yes"/>
    <n v="20"/>
    <n v="15"/>
    <x v="7"/>
  </r>
  <r>
    <n v="3525"/>
    <s v="Elisa Magalhães"/>
    <x v="1"/>
    <x v="293"/>
    <x v="1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00947-32BA-4706-8F74-D4D48A00FD71}" name="tbl_total_eaplay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47:C51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2">
    <format dxfId="1">
      <pivotArea collapsedLevelsAreSubtotals="1" fieldPosition="0">
        <references count="1">
          <reference field="2" count="0"/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C0699-1F50-4D7D-844B-9401880AE4F2}" name="tbl_anual_au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B19:C22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dataField="1"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0" baseItem="0" numFmtId="44"/>
  </dataFields>
  <formats count="2">
    <format dxfId="3">
      <pivotArea collapsedLevelsAreSubtotals="1" fieldPosition="0">
        <references count="1">
          <reference field="4" count="1">
            <x v="0"/>
          </reference>
        </references>
      </pivotArea>
    </format>
    <format dxfId="2">
      <pivotArea dataOnly="0" labelOnly="1" fieldPosition="0">
        <references count="1">
          <reference field="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F1CDD-2FD8-41C8-A687-DB62703DDEA2}" name="tbl_total_minecraft" cacheId="0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chartFormat="15">
  <location ref="B57:C61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2">
    <format dxfId="5">
      <pivotArea collapsedLevelsAreSubtotals="1" fieldPosition="0">
        <references count="1">
          <reference field="2" count="0"/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7D758-1A00-4B63-B618-5CAAEA4B108D}" name="tbl_vend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2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2">
    <format dxfId="7">
      <pivotArea collapsedLevelsAreSubtotals="1" fieldPosition="0">
        <references count="1">
          <reference field="6" count="1">
            <x v="0"/>
          </reference>
        </references>
      </pivotArea>
    </format>
    <format dxfId="6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37287-0492-4DA9-818C-B1FFCFDD145E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76:C89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76CF9-A364-4722-ACD4-2A227A943CFC}" name="tbl_total_assinatur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8:C72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 numFmtId="44"/>
  </dataFields>
  <formats count="2">
    <format dxfId="9">
      <pivotArea collapsedLevelsAreSubtotals="1" fieldPosition="0">
        <references count="1">
          <reference field="6" count="1">
            <x v="0"/>
          </reference>
        </references>
      </pivotArea>
    </format>
    <format dxfId="8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tbl_vendas_minecraft" xr10:uid="{69089AC7-02FB-400B-BD55-234DDE4DD126}" sourceName="Subscription Type">
  <pivotTables>
    <pivotTable tabId="3" name="tbl_anual_auto"/>
    <pivotTable tabId="3" name="tbl_total_eaplay"/>
    <pivotTable tabId="3" name="tbl_vendas"/>
    <pivotTable tabId="3" name="tbl_total_minecraft"/>
    <pivotTable tabId="3" name="tbl_total_assinaturas"/>
    <pivotTable tabId="3" name="Tabela dinâmica5"/>
  </pivotTables>
  <data>
    <tabular pivotCacheId="1839456529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E2529F42-A0C2-467A-8FEA-3798B3CC01AE}" sourceName="Meses (Start Date)">
  <pivotTables>
    <pivotTable tabId="3" name="Tabela dinâmica5"/>
    <pivotTable tabId="3" name="tbl_total_assinaturas"/>
    <pivotTable tabId="3" name="tbl_anual_auto"/>
    <pivotTable tabId="3" name="tbl_total_eaplay"/>
    <pivotTable tabId="3" name="tbl_total_minecraft"/>
    <pivotTable tabId="3" name="tbl_vendas"/>
  </pivotTables>
  <data>
    <tabular pivotCacheId="1839456529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51C8B9D-0197-4790-94EC-DBC7CCE8FEEB}" cache="tbl_vendas_minecraft" caption="Subscription Type" style="SlicerStyleLight3 2" rowHeight="257175"/>
  <slicer name="Meses (Start Date)" xr10:uid="{4A0DF78E-B269-4020-A7F4-2D06A3AC0533}" cache="SegmentaçãodeDados_Meses__Start_Date" caption="Meses (Start Date)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_xbox" displayName="tab_xbox" ref="A1:M296" totalsRowShown="0" dataDxfId="23">
  <autoFilter ref="A1:M296" xr:uid="{34E0E886-4200-4B36-97B3-63DB74FF40A0}"/>
  <tableColumns count="13">
    <tableColumn id="1" xr3:uid="{C4A90516-688A-46BF-9167-EA16C2A8A652}" name="Subscriber ID" dataDxfId="22"/>
    <tableColumn id="2" xr3:uid="{53DD39D0-2220-4121-9E9D-4EAA7E151C0F}" name="Name" dataDxfId="21"/>
    <tableColumn id="3" xr3:uid="{4F5FF271-4C57-4BE0-8F2C-F82C8551625C}" name="Plan" dataDxfId="20"/>
    <tableColumn id="4" xr3:uid="{8C17EB93-79B9-4E55-B8F7-BEB82F8253E9}" name="Start Date" dataDxfId="19"/>
    <tableColumn id="5" xr3:uid="{48CEDF9B-1689-482A-A828-5CCE7713264A}" name="Auto Renewal" dataDxfId="1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="85" zoomScaleNormal="85" workbookViewId="0">
      <selection activeCell="F32" sqref="F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showGridLines="0" topLeftCell="D1" zoomScale="70" zoomScaleNormal="70" workbookViewId="0">
      <selection activeCell="D2" sqref="D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B2:D89"/>
  <sheetViews>
    <sheetView showGridLines="0" topLeftCell="A46" zoomScale="55" zoomScaleNormal="55" workbookViewId="0">
      <selection activeCell="E79" sqref="E79"/>
    </sheetView>
  </sheetViews>
  <sheetFormatPr defaultRowHeight="15" x14ac:dyDescent="0.25"/>
  <cols>
    <col min="2" max="2" width="26.140625" bestFit="1" customWidth="1"/>
    <col min="3" max="3" width="26.85546875" bestFit="1" customWidth="1"/>
    <col min="4" max="4" width="42.42578125" bestFit="1" customWidth="1"/>
    <col min="5" max="5" width="14.28515625" bestFit="1" customWidth="1"/>
    <col min="6" max="6" width="24" bestFit="1" customWidth="1"/>
    <col min="7" max="7" width="33.855468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s="13" t="s">
        <v>344</v>
      </c>
    </row>
    <row r="3" spans="2:4" x14ac:dyDescent="0.25">
      <c r="B3" t="s">
        <v>346</v>
      </c>
    </row>
    <row r="4" spans="2:4" x14ac:dyDescent="0.25">
      <c r="B4" s="19" t="s">
        <v>345</v>
      </c>
      <c r="C4" s="19"/>
      <c r="D4" s="19"/>
    </row>
    <row r="6" spans="2:4" x14ac:dyDescent="0.25">
      <c r="B6" t="s">
        <v>347</v>
      </c>
    </row>
    <row r="8" spans="2:4" x14ac:dyDescent="0.25">
      <c r="B8" s="15" t="s">
        <v>348</v>
      </c>
      <c r="C8" t="s">
        <v>350</v>
      </c>
    </row>
    <row r="9" spans="2:4" x14ac:dyDescent="0.25">
      <c r="B9" s="17" t="s">
        <v>24</v>
      </c>
      <c r="C9" s="18">
        <v>1754</v>
      </c>
    </row>
    <row r="10" spans="2:4" x14ac:dyDescent="0.25">
      <c r="B10" s="12" t="s">
        <v>20</v>
      </c>
      <c r="C10" s="16">
        <v>3571</v>
      </c>
    </row>
    <row r="11" spans="2:4" x14ac:dyDescent="0.25">
      <c r="B11" s="12" t="s">
        <v>27</v>
      </c>
      <c r="C11" s="16">
        <v>2308</v>
      </c>
    </row>
    <row r="12" spans="2:4" x14ac:dyDescent="0.25">
      <c r="B12" s="12" t="s">
        <v>349</v>
      </c>
      <c r="C12" s="16">
        <v>7633</v>
      </c>
      <c r="D12" s="20">
        <f>GETPIVOTDATA("Total Value",$B$8)</f>
        <v>7633</v>
      </c>
    </row>
    <row r="15" spans="2:4" x14ac:dyDescent="0.25">
      <c r="B15" t="s">
        <v>351</v>
      </c>
    </row>
    <row r="17" spans="2:3" x14ac:dyDescent="0.25">
      <c r="B17" s="15" t="s">
        <v>16</v>
      </c>
      <c r="C17" t="s">
        <v>360</v>
      </c>
    </row>
    <row r="19" spans="2:3" x14ac:dyDescent="0.25">
      <c r="B19" s="15" t="s">
        <v>348</v>
      </c>
      <c r="C19" t="s">
        <v>352</v>
      </c>
    </row>
    <row r="20" spans="2:3" x14ac:dyDescent="0.25">
      <c r="B20" s="17" t="s">
        <v>23</v>
      </c>
      <c r="C20" s="18">
        <v>1470</v>
      </c>
    </row>
    <row r="21" spans="2:3" x14ac:dyDescent="0.25">
      <c r="B21" s="12" t="s">
        <v>19</v>
      </c>
      <c r="C21" s="16">
        <v>1465</v>
      </c>
    </row>
    <row r="22" spans="2:3" x14ac:dyDescent="0.25">
      <c r="B22" s="12" t="s">
        <v>349</v>
      </c>
      <c r="C22" s="16">
        <v>2935</v>
      </c>
    </row>
    <row r="24" spans="2:3" x14ac:dyDescent="0.25">
      <c r="B24" t="s">
        <v>353</v>
      </c>
    </row>
    <row r="43" spans="2:3" x14ac:dyDescent="0.25">
      <c r="B43" t="s">
        <v>355</v>
      </c>
    </row>
    <row r="45" spans="2:3" x14ac:dyDescent="0.25">
      <c r="B45" s="15" t="s">
        <v>16</v>
      </c>
      <c r="C45" t="s">
        <v>360</v>
      </c>
    </row>
    <row r="47" spans="2:3" x14ac:dyDescent="0.25">
      <c r="B47" s="15" t="s">
        <v>348</v>
      </c>
      <c r="C47" t="s">
        <v>356</v>
      </c>
    </row>
    <row r="48" spans="2:3" x14ac:dyDescent="0.25">
      <c r="B48" s="12" t="s">
        <v>22</v>
      </c>
      <c r="C48" s="16">
        <v>0</v>
      </c>
    </row>
    <row r="49" spans="2:4" x14ac:dyDescent="0.25">
      <c r="B49" s="12" t="s">
        <v>26</v>
      </c>
      <c r="C49" s="16">
        <v>0</v>
      </c>
    </row>
    <row r="50" spans="2:4" x14ac:dyDescent="0.25">
      <c r="B50" s="12" t="s">
        <v>18</v>
      </c>
      <c r="C50" s="16">
        <v>2940</v>
      </c>
    </row>
    <row r="51" spans="2:4" x14ac:dyDescent="0.25">
      <c r="B51" s="12" t="s">
        <v>349</v>
      </c>
      <c r="C51" s="16">
        <v>2940</v>
      </c>
      <c r="D51" s="20">
        <f>GETPIVOTDATA("EA Play Season Pass
Price",$B$47)</f>
        <v>2940</v>
      </c>
    </row>
    <row r="53" spans="2:4" x14ac:dyDescent="0.25">
      <c r="B53" s="12" t="s">
        <v>358</v>
      </c>
    </row>
    <row r="55" spans="2:4" x14ac:dyDescent="0.25">
      <c r="B55" s="15" t="s">
        <v>16</v>
      </c>
      <c r="C55" t="s">
        <v>360</v>
      </c>
    </row>
    <row r="57" spans="2:4" x14ac:dyDescent="0.25">
      <c r="B57" s="15" t="s">
        <v>348</v>
      </c>
      <c r="C57" t="s">
        <v>359</v>
      </c>
    </row>
    <row r="58" spans="2:4" x14ac:dyDescent="0.25">
      <c r="B58" s="12" t="s">
        <v>22</v>
      </c>
      <c r="C58" s="16">
        <v>0</v>
      </c>
    </row>
    <row r="59" spans="2:4" x14ac:dyDescent="0.25">
      <c r="B59" s="12" t="s">
        <v>26</v>
      </c>
      <c r="C59" s="16">
        <v>1920</v>
      </c>
    </row>
    <row r="60" spans="2:4" x14ac:dyDescent="0.25">
      <c r="B60" s="12" t="s">
        <v>18</v>
      </c>
      <c r="C60" s="16">
        <v>1960</v>
      </c>
    </row>
    <row r="61" spans="2:4" x14ac:dyDescent="0.25">
      <c r="B61" s="12" t="s">
        <v>349</v>
      </c>
      <c r="C61" s="16">
        <v>3880</v>
      </c>
      <c r="D61" s="20">
        <f>GETPIVOTDATA("Minecraft Season Pass Price",$B$57)</f>
        <v>3880</v>
      </c>
    </row>
    <row r="65" spans="2:4" x14ac:dyDescent="0.25">
      <c r="B65" t="s">
        <v>361</v>
      </c>
    </row>
    <row r="68" spans="2:4" x14ac:dyDescent="0.25">
      <c r="B68" s="15" t="s">
        <v>348</v>
      </c>
      <c r="C68" t="s">
        <v>352</v>
      </c>
    </row>
    <row r="69" spans="2:4" x14ac:dyDescent="0.25">
      <c r="B69" s="17" t="s">
        <v>24</v>
      </c>
      <c r="C69" s="18">
        <v>690</v>
      </c>
    </row>
    <row r="70" spans="2:4" x14ac:dyDescent="0.25">
      <c r="B70" s="12" t="s">
        <v>20</v>
      </c>
      <c r="C70" s="16">
        <v>1370</v>
      </c>
    </row>
    <row r="71" spans="2:4" x14ac:dyDescent="0.25">
      <c r="B71" s="12" t="s">
        <v>27</v>
      </c>
      <c r="C71" s="16">
        <v>875</v>
      </c>
    </row>
    <row r="72" spans="2:4" x14ac:dyDescent="0.25">
      <c r="B72" s="12" t="s">
        <v>349</v>
      </c>
      <c r="C72" s="16">
        <v>2935</v>
      </c>
      <c r="D72" s="20">
        <f>GETPIVOTDATA("Subscription Price",$B$68)</f>
        <v>2935</v>
      </c>
    </row>
    <row r="74" spans="2:4" x14ac:dyDescent="0.25">
      <c r="B74" t="s">
        <v>374</v>
      </c>
    </row>
    <row r="76" spans="2:4" x14ac:dyDescent="0.25">
      <c r="B76" s="15" t="s">
        <v>348</v>
      </c>
      <c r="C76" t="s">
        <v>350</v>
      </c>
    </row>
    <row r="77" spans="2:4" x14ac:dyDescent="0.25">
      <c r="B77" s="12" t="s">
        <v>362</v>
      </c>
      <c r="C77" s="16">
        <v>65</v>
      </c>
    </row>
    <row r="78" spans="2:4" x14ac:dyDescent="0.25">
      <c r="B78" s="12" t="s">
        <v>373</v>
      </c>
      <c r="C78" s="16">
        <v>82</v>
      </c>
    </row>
    <row r="79" spans="2:4" x14ac:dyDescent="0.25">
      <c r="B79" s="12" t="s">
        <v>363</v>
      </c>
      <c r="C79" s="16">
        <v>801</v>
      </c>
    </row>
    <row r="80" spans="2:4" x14ac:dyDescent="0.25">
      <c r="B80" s="12" t="s">
        <v>364</v>
      </c>
      <c r="C80" s="16">
        <v>782</v>
      </c>
    </row>
    <row r="81" spans="2:3" x14ac:dyDescent="0.25">
      <c r="B81" s="12" t="s">
        <v>365</v>
      </c>
      <c r="C81" s="16">
        <v>777</v>
      </c>
    </row>
    <row r="82" spans="2:3" x14ac:dyDescent="0.25">
      <c r="B82" s="12" t="s">
        <v>366</v>
      </c>
      <c r="C82" s="16">
        <v>770</v>
      </c>
    </row>
    <row r="83" spans="2:3" x14ac:dyDescent="0.25">
      <c r="B83" s="12" t="s">
        <v>367</v>
      </c>
      <c r="C83" s="16">
        <v>784</v>
      </c>
    </row>
    <row r="84" spans="2:3" x14ac:dyDescent="0.25">
      <c r="B84" s="12" t="s">
        <v>368</v>
      </c>
      <c r="C84" s="16">
        <v>787</v>
      </c>
    </row>
    <row r="85" spans="2:3" x14ac:dyDescent="0.25">
      <c r="B85" s="12" t="s">
        <v>369</v>
      </c>
      <c r="C85" s="16">
        <v>780</v>
      </c>
    </row>
    <row r="86" spans="2:3" x14ac:dyDescent="0.25">
      <c r="B86" s="12" t="s">
        <v>370</v>
      </c>
      <c r="C86" s="16">
        <v>832</v>
      </c>
    </row>
    <row r="87" spans="2:3" x14ac:dyDescent="0.25">
      <c r="B87" s="12" t="s">
        <v>371</v>
      </c>
      <c r="C87" s="16">
        <v>784</v>
      </c>
    </row>
    <row r="88" spans="2:3" x14ac:dyDescent="0.25">
      <c r="B88" s="12" t="s">
        <v>372</v>
      </c>
      <c r="C88" s="16">
        <v>389</v>
      </c>
    </row>
    <row r="89" spans="2:3" x14ac:dyDescent="0.25">
      <c r="B89" s="12" t="s">
        <v>349</v>
      </c>
      <c r="C89" s="16">
        <v>7633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L70"/>
  <sheetViews>
    <sheetView showGridLines="0" tabSelected="1" zoomScale="70" zoomScaleNormal="70" workbookViewId="0">
      <selection activeCell="F4" sqref="F4"/>
    </sheetView>
  </sheetViews>
  <sheetFormatPr defaultColWidth="0" defaultRowHeight="15" zeroHeight="1" x14ac:dyDescent="0.25"/>
  <cols>
    <col min="1" max="1" width="23.7109375" style="4" customWidth="1"/>
    <col min="2" max="2" width="59.7109375" customWidth="1"/>
    <col min="3" max="10" width="9.140625" customWidth="1"/>
    <col min="11" max="11" width="9.140625" hidden="1" customWidth="1"/>
    <col min="12" max="12" width="6.5703125" hidden="1" customWidth="1"/>
    <col min="13" max="16384" width="9.140625" hidden="1"/>
  </cols>
  <sheetData>
    <row r="1" spans="1:9" ht="15" customHeight="1" thickBot="1" x14ac:dyDescent="0.3">
      <c r="B1" s="22" t="s">
        <v>354</v>
      </c>
      <c r="C1" s="22"/>
      <c r="D1" s="22"/>
      <c r="E1" s="22"/>
      <c r="F1" s="22"/>
      <c r="G1" s="22"/>
      <c r="H1" s="22"/>
      <c r="I1" s="22"/>
    </row>
    <row r="2" spans="1:9" ht="51" customHeight="1" thickTop="1" thickBot="1" x14ac:dyDescent="0.3">
      <c r="B2" s="23"/>
      <c r="C2" s="23"/>
      <c r="D2" s="23"/>
      <c r="E2" s="23"/>
      <c r="F2" s="23"/>
      <c r="G2" s="23"/>
      <c r="H2" s="23"/>
      <c r="I2" s="23"/>
    </row>
    <row r="3" spans="1:9" s="7" customFormat="1" ht="15.75" thickTop="1" x14ac:dyDescent="0.25">
      <c r="A3" s="4"/>
      <c r="B3" s="21" t="s">
        <v>375</v>
      </c>
      <c r="C3" s="21"/>
    </row>
    <row r="4" spans="1:9" s="7" customFormat="1" x14ac:dyDescent="0.25">
      <c r="A4" s="4"/>
    </row>
    <row r="5" spans="1:9" s="7" customFormat="1" x14ac:dyDescent="0.25">
      <c r="A5" s="4"/>
    </row>
    <row r="6" spans="1:9" s="7" customFormat="1" x14ac:dyDescent="0.25">
      <c r="A6" s="4"/>
    </row>
    <row r="7" spans="1:9" s="7" customFormat="1" x14ac:dyDescent="0.25">
      <c r="A7" s="4"/>
    </row>
    <row r="8" spans="1:9" s="7" customFormat="1" x14ac:dyDescent="0.25">
      <c r="A8" s="4"/>
    </row>
    <row r="9" spans="1:9" s="7" customFormat="1" x14ac:dyDescent="0.25">
      <c r="A9" s="4"/>
    </row>
    <row r="10" spans="1:9" s="7" customFormat="1" x14ac:dyDescent="0.25">
      <c r="A10" s="4"/>
    </row>
    <row r="11" spans="1:9" s="7" customFormat="1" x14ac:dyDescent="0.25">
      <c r="A11" s="4"/>
    </row>
    <row r="12" spans="1:9" s="7" customFormat="1" x14ac:dyDescent="0.25">
      <c r="A12" s="4"/>
    </row>
    <row r="13" spans="1:9" s="7" customFormat="1" x14ac:dyDescent="0.25">
      <c r="A13" s="4"/>
    </row>
    <row r="14" spans="1:9" s="7" customFormat="1" x14ac:dyDescent="0.25">
      <c r="A14" s="4"/>
    </row>
    <row r="15" spans="1:9" s="7" customFormat="1" x14ac:dyDescent="0.25">
      <c r="A15" s="4"/>
    </row>
    <row r="16" spans="1:9" s="7" customFormat="1" x14ac:dyDescent="0.25">
      <c r="A16" s="4"/>
    </row>
    <row r="17" spans="1:2" s="7" customFormat="1" x14ac:dyDescent="0.25">
      <c r="A17" s="4"/>
    </row>
    <row r="18" spans="1:2" s="7" customFormat="1" x14ac:dyDescent="0.25">
      <c r="A18" s="4"/>
    </row>
    <row r="19" spans="1:2" s="7" customFormat="1" x14ac:dyDescent="0.25">
      <c r="A19" s="4"/>
    </row>
    <row r="20" spans="1:2" s="7" customFormat="1" x14ac:dyDescent="0.25">
      <c r="A20" s="4"/>
    </row>
    <row r="21" spans="1:2" s="7" customFormat="1" x14ac:dyDescent="0.25">
      <c r="A21" s="4"/>
    </row>
    <row r="22" spans="1:2" s="7" customFormat="1" x14ac:dyDescent="0.25">
      <c r="A22" s="4"/>
    </row>
    <row r="23" spans="1:2" s="7" customFormat="1" x14ac:dyDescent="0.25">
      <c r="A23" s="4"/>
    </row>
    <row r="24" spans="1:2" s="7" customFormat="1" x14ac:dyDescent="0.25">
      <c r="A24" s="4"/>
    </row>
    <row r="25" spans="1:2" s="7" customFormat="1" x14ac:dyDescent="0.25">
      <c r="A25" s="4"/>
    </row>
    <row r="26" spans="1:2" s="7" customFormat="1" x14ac:dyDescent="0.25">
      <c r="A26" s="4"/>
    </row>
    <row r="27" spans="1:2" s="7" customFormat="1" x14ac:dyDescent="0.25">
      <c r="A27" s="4"/>
    </row>
    <row r="28" spans="1:2" s="7" customFormat="1" x14ac:dyDescent="0.25">
      <c r="A28" s="4"/>
    </row>
    <row r="29" spans="1:2" s="7" customFormat="1" x14ac:dyDescent="0.25">
      <c r="A29" s="4"/>
      <c r="B29" s="7" t="s">
        <v>357</v>
      </c>
    </row>
    <row r="30" spans="1:2" s="7" customFormat="1" x14ac:dyDescent="0.25">
      <c r="A30" s="4"/>
    </row>
    <row r="31" spans="1:2" s="7" customFormat="1" x14ac:dyDescent="0.25">
      <c r="A31" s="4"/>
    </row>
    <row r="32" spans="1:2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hidden="1" x14ac:dyDescent="0.25">
      <c r="A48" s="4"/>
    </row>
    <row r="49" spans="1:1" s="7" customFormat="1" hidden="1" x14ac:dyDescent="0.25">
      <c r="A49" s="4"/>
    </row>
    <row r="50" spans="1:1" s="7" customFormat="1" hidden="1" x14ac:dyDescent="0.25">
      <c r="A50" s="4"/>
    </row>
    <row r="51" spans="1:1" s="7" customFormat="1" hidden="1" x14ac:dyDescent="0.25">
      <c r="A51" s="4"/>
    </row>
    <row r="52" spans="1:1" s="7" customFormat="1" hidden="1" x14ac:dyDescent="0.25">
      <c r="A52" s="4"/>
    </row>
    <row r="53" spans="1:1" s="7" customFormat="1" hidden="1" x14ac:dyDescent="0.25">
      <c r="A53" s="4"/>
    </row>
    <row r="54" spans="1:1" s="7" customFormat="1" hidden="1" x14ac:dyDescent="0.25">
      <c r="A54" s="4"/>
    </row>
    <row r="55" spans="1:1" s="7" customFormat="1" hidden="1" x14ac:dyDescent="0.25">
      <c r="A55" s="4"/>
    </row>
    <row r="56" spans="1:1" s="7" customFormat="1" hidden="1" x14ac:dyDescent="0.25">
      <c r="A56" s="4"/>
    </row>
    <row r="57" spans="1:1" s="7" customFormat="1" hidden="1" x14ac:dyDescent="0.25">
      <c r="A57" s="4"/>
    </row>
    <row r="58" spans="1:1" s="7" customFormat="1" hidden="1" x14ac:dyDescent="0.25">
      <c r="A58" s="4"/>
    </row>
    <row r="59" spans="1:1" s="7" customFormat="1" hidden="1" x14ac:dyDescent="0.25">
      <c r="A59" s="4"/>
    </row>
    <row r="60" spans="1:1" s="7" customFormat="1" hidden="1" x14ac:dyDescent="0.25">
      <c r="A60" s="4"/>
    </row>
    <row r="61" spans="1:1" s="7" customFormat="1" hidden="1" x14ac:dyDescent="0.25">
      <c r="A61" s="4"/>
    </row>
    <row r="62" spans="1:1" s="7" customFormat="1" hidden="1" x14ac:dyDescent="0.25">
      <c r="A62" s="4"/>
    </row>
    <row r="63" spans="1:1" s="7" customFormat="1" hidden="1" x14ac:dyDescent="0.25">
      <c r="A63" s="4"/>
    </row>
    <row r="64" spans="1:1" s="7" customFormat="1" hidden="1" x14ac:dyDescent="0.25">
      <c r="A64" s="4"/>
    </row>
    <row r="65" spans="1:1" s="7" customFormat="1" hidden="1" x14ac:dyDescent="0.25">
      <c r="A65" s="4"/>
    </row>
    <row r="66" spans="1:1" s="7" customFormat="1" hidden="1" x14ac:dyDescent="0.25">
      <c r="A66" s="4"/>
    </row>
    <row r="67" spans="1:1" s="7" customFormat="1" hidden="1" x14ac:dyDescent="0.25">
      <c r="A67" s="4"/>
    </row>
    <row r="68" spans="1:1" s="7" customFormat="1" hidden="1" x14ac:dyDescent="0.25">
      <c r="A68" s="4"/>
    </row>
    <row r="69" spans="1:1" s="7" customFormat="1" hidden="1" x14ac:dyDescent="0.25">
      <c r="A69" s="4"/>
    </row>
    <row r="70" spans="1:1" s="7" customFormat="1" hidden="1" x14ac:dyDescent="0.25">
      <c r="A70" s="4"/>
    </row>
  </sheetData>
  <mergeCells count="1">
    <mergeCell ref="B1:I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4B58-FDC7-4AE3-9397-36179CDD4634}">
  <sheetPr codeName="Planilha5"/>
  <dimension ref="B2:M36"/>
  <sheetViews>
    <sheetView showGridLines="0" topLeftCell="A16" workbookViewId="0">
      <selection activeCell="E38" sqref="E38"/>
    </sheetView>
  </sheetViews>
  <sheetFormatPr defaultRowHeight="15" x14ac:dyDescent="0.25"/>
  <cols>
    <col min="1" max="1" width="3" customWidth="1"/>
    <col min="2" max="2" width="19.140625" customWidth="1"/>
  </cols>
  <sheetData>
    <row r="2" spans="2:13" x14ac:dyDescent="0.25">
      <c r="B2" t="s">
        <v>322</v>
      </c>
    </row>
    <row r="3" spans="2:13" x14ac:dyDescent="0.25">
      <c r="B3" t="s">
        <v>324</v>
      </c>
    </row>
    <row r="4" spans="2:13" x14ac:dyDescent="0.25">
      <c r="B4" t="s">
        <v>313</v>
      </c>
      <c r="C4" t="s">
        <v>325</v>
      </c>
    </row>
    <row r="5" spans="2:13" x14ac:dyDescent="0.25">
      <c r="B5" t="s">
        <v>314</v>
      </c>
      <c r="C5" t="s">
        <v>318</v>
      </c>
    </row>
    <row r="6" spans="2:13" x14ac:dyDescent="0.25">
      <c r="B6" t="s">
        <v>315</v>
      </c>
      <c r="C6" t="s">
        <v>319</v>
      </c>
    </row>
    <row r="7" spans="2:13" x14ac:dyDescent="0.25">
      <c r="B7" t="s">
        <v>316</v>
      </c>
      <c r="C7" t="s">
        <v>320</v>
      </c>
    </row>
    <row r="8" spans="2:13" x14ac:dyDescent="0.25">
      <c r="B8" t="s">
        <v>317</v>
      </c>
      <c r="C8" t="s">
        <v>321</v>
      </c>
    </row>
    <row r="10" spans="2:13" x14ac:dyDescent="0.25">
      <c r="B10" t="s">
        <v>323</v>
      </c>
    </row>
    <row r="11" spans="2:13" x14ac:dyDescent="0.25">
      <c r="B11" t="s">
        <v>326</v>
      </c>
    </row>
    <row r="12" spans="2:13" x14ac:dyDescent="0.25">
      <c r="B12" t="s">
        <v>327</v>
      </c>
    </row>
    <row r="14" spans="2:13" x14ac:dyDescent="0.25">
      <c r="B14" s="13" t="s">
        <v>328</v>
      </c>
    </row>
    <row r="15" spans="2:13" ht="50.25" customHeight="1" x14ac:dyDescent="0.25">
      <c r="B15" s="24" t="s">
        <v>329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7" spans="2:9" x14ac:dyDescent="0.25">
      <c r="B17" s="13" t="s">
        <v>330</v>
      </c>
    </row>
    <row r="18" spans="2:9" x14ac:dyDescent="0.25">
      <c r="B18" t="s">
        <v>338</v>
      </c>
    </row>
    <row r="19" spans="2:9" x14ac:dyDescent="0.25">
      <c r="B19" s="14" t="s">
        <v>11</v>
      </c>
      <c r="C19" s="27" t="s">
        <v>331</v>
      </c>
      <c r="D19" s="27"/>
      <c r="E19" s="27"/>
      <c r="F19" s="27"/>
      <c r="G19" s="27"/>
      <c r="H19" s="27"/>
      <c r="I19" s="27"/>
    </row>
    <row r="20" spans="2:9" x14ac:dyDescent="0.25">
      <c r="B20" s="14" t="s">
        <v>12</v>
      </c>
      <c r="C20" s="26" t="s">
        <v>332</v>
      </c>
      <c r="D20" s="26"/>
      <c r="E20" s="26"/>
      <c r="F20" s="26"/>
      <c r="G20" s="26"/>
      <c r="H20" s="26"/>
      <c r="I20" s="26"/>
    </row>
    <row r="21" spans="2:9" x14ac:dyDescent="0.25">
      <c r="B21" s="14" t="s">
        <v>13</v>
      </c>
      <c r="C21" s="26" t="s">
        <v>333</v>
      </c>
      <c r="D21" s="26"/>
      <c r="E21" s="26"/>
      <c r="F21" s="26"/>
      <c r="G21" s="26"/>
      <c r="H21" s="26"/>
      <c r="I21" s="26"/>
    </row>
    <row r="22" spans="2:9" x14ac:dyDescent="0.25">
      <c r="B22" s="14" t="s">
        <v>14</v>
      </c>
      <c r="C22" s="26" t="s">
        <v>334</v>
      </c>
      <c r="D22" s="26"/>
      <c r="E22" s="26"/>
      <c r="F22" s="26"/>
      <c r="G22" s="26"/>
      <c r="H22" s="26"/>
      <c r="I22" s="26"/>
    </row>
    <row r="23" spans="2:9" x14ac:dyDescent="0.25">
      <c r="B23" s="14" t="s">
        <v>15</v>
      </c>
      <c r="C23" s="26" t="s">
        <v>335</v>
      </c>
      <c r="D23" s="26"/>
      <c r="E23" s="26"/>
      <c r="F23" s="26"/>
      <c r="G23" s="26"/>
      <c r="H23" s="26"/>
      <c r="I23" s="26"/>
    </row>
    <row r="24" spans="2:9" x14ac:dyDescent="0.25">
      <c r="B24" s="14" t="s">
        <v>312</v>
      </c>
      <c r="C24" s="26" t="s">
        <v>336</v>
      </c>
      <c r="D24" s="26"/>
      <c r="E24" s="26"/>
      <c r="F24" s="26"/>
      <c r="G24" s="26"/>
      <c r="H24" s="26"/>
      <c r="I24" s="26"/>
    </row>
    <row r="25" spans="2:9" x14ac:dyDescent="0.25">
      <c r="B25" s="14" t="s">
        <v>16</v>
      </c>
      <c r="C25" s="26" t="s">
        <v>337</v>
      </c>
      <c r="D25" s="26"/>
      <c r="E25" s="26"/>
      <c r="F25" s="26"/>
      <c r="G25" s="26"/>
      <c r="H25" s="26"/>
      <c r="I25" s="26"/>
    </row>
    <row r="26" spans="2:9" x14ac:dyDescent="0.25">
      <c r="B26" s="14" t="s">
        <v>309</v>
      </c>
      <c r="C26" s="26" t="s">
        <v>341</v>
      </c>
      <c r="D26" s="26"/>
      <c r="E26" s="26"/>
      <c r="F26" s="26"/>
      <c r="G26" s="26"/>
      <c r="H26" s="26"/>
      <c r="I26" s="26"/>
    </row>
    <row r="27" spans="2:9" ht="27" x14ac:dyDescent="0.25">
      <c r="B27" s="14" t="s">
        <v>310</v>
      </c>
      <c r="C27" s="26" t="s">
        <v>339</v>
      </c>
      <c r="D27" s="26"/>
      <c r="E27" s="26"/>
      <c r="F27" s="26"/>
      <c r="G27" s="26"/>
      <c r="H27" s="26"/>
      <c r="I27" s="26"/>
    </row>
    <row r="28" spans="2:9" x14ac:dyDescent="0.25">
      <c r="B28" s="14" t="s">
        <v>30</v>
      </c>
      <c r="C28" s="26" t="s">
        <v>341</v>
      </c>
      <c r="D28" s="26"/>
      <c r="E28" s="26"/>
      <c r="F28" s="26"/>
      <c r="G28" s="26"/>
      <c r="H28" s="26"/>
      <c r="I28" s="26"/>
    </row>
    <row r="29" spans="2:9" ht="27" x14ac:dyDescent="0.25">
      <c r="B29" s="14" t="s">
        <v>31</v>
      </c>
      <c r="C29" s="26" t="s">
        <v>339</v>
      </c>
      <c r="D29" s="26"/>
      <c r="E29" s="26"/>
      <c r="F29" s="26"/>
      <c r="G29" s="26"/>
      <c r="H29" s="26"/>
      <c r="I29" s="26"/>
    </row>
    <row r="30" spans="2:9" x14ac:dyDescent="0.25">
      <c r="B30" s="14" t="s">
        <v>32</v>
      </c>
      <c r="C30" s="26" t="s">
        <v>340</v>
      </c>
      <c r="D30" s="26"/>
      <c r="E30" s="26"/>
      <c r="F30" s="26"/>
      <c r="G30" s="26"/>
      <c r="H30" s="26"/>
      <c r="I30" s="26"/>
    </row>
    <row r="31" spans="2:9" x14ac:dyDescent="0.25">
      <c r="B31" s="14" t="s">
        <v>33</v>
      </c>
      <c r="C31" s="26" t="s">
        <v>342</v>
      </c>
      <c r="D31" s="26"/>
      <c r="E31" s="26"/>
      <c r="F31" s="26"/>
      <c r="G31" s="26"/>
      <c r="H31" s="26"/>
      <c r="I31" s="26"/>
    </row>
    <row r="33" spans="2:2" x14ac:dyDescent="0.25">
      <c r="B33" s="13" t="s">
        <v>343</v>
      </c>
    </row>
    <row r="34" spans="2:2" x14ac:dyDescent="0.25">
      <c r="B34" s="14" t="s">
        <v>16</v>
      </c>
    </row>
    <row r="35" spans="2:2" x14ac:dyDescent="0.25">
      <c r="B35" s="14" t="s">
        <v>309</v>
      </c>
    </row>
    <row r="36" spans="2:2" x14ac:dyDescent="0.25">
      <c r="B36" s="14" t="s">
        <v>30</v>
      </c>
    </row>
  </sheetData>
  <mergeCells count="14">
    <mergeCell ref="B15:M15"/>
    <mergeCell ref="C28:I28"/>
    <mergeCell ref="C29:I29"/>
    <mergeCell ref="C30:I30"/>
    <mergeCell ref="C31:I31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A̳ssets</vt:lpstr>
      <vt:lpstr>B̳ases</vt:lpstr>
      <vt:lpstr>C̳álculos</vt:lpstr>
      <vt:lpstr>D̳ashboard</vt:lpstr>
      <vt:lpstr>Anotações</vt:lpstr>
      <vt:lpstr>tbl_auto_renov</vt:lpstr>
      <vt:lpstr>tbl_total</vt:lpstr>
      <vt:lpstr>tbl_vendas_eaplay</vt:lpstr>
      <vt:lpstr>tbl_vendas_minecrafts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Ednaldo Victor</cp:lastModifiedBy>
  <dcterms:created xsi:type="dcterms:W3CDTF">2024-12-19T13:13:10Z</dcterms:created>
  <dcterms:modified xsi:type="dcterms:W3CDTF">2026-02-03T18:34:56Z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